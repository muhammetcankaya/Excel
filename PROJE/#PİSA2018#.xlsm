
<file path=[Content_Types].xml><?xml version="1.0" encoding="utf-8"?>
<Types xmlns="http://schemas.openxmlformats.org/package/2006/content-types">
  <Default Extension="bin" ContentType="application/vnd.ms-office.activeX"/>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activeX/activeX1.xml" ContentType="application/vnd.ms-office.activeX+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activeX/activeX2.xml" ContentType="application/vnd.ms-office.activeX+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Ex1.xml" ContentType="application/vnd.ms-office.chartex+xml"/>
  <Override PartName="/xl/charts/style8.xml" ContentType="application/vnd.ms-office.chartstyle+xml"/>
  <Override PartName="/xl/charts/colors8.xml" ContentType="application/vnd.ms-office.chartcolorstyle+xml"/>
  <Override PartName="/xl/charts/chartEx2.xml" ContentType="application/vnd.ms-office.chartex+xml"/>
  <Override PartName="/xl/charts/style9.xml" ContentType="application/vnd.ms-office.chartstyle+xml"/>
  <Override PartName="/xl/charts/colors9.xml" ContentType="application/vnd.ms-office.chartcolorstyle+xml"/>
  <Override PartName="/xl/charts/chartEx3.xml" ContentType="application/vnd.ms-office.chartex+xml"/>
  <Override PartName="/xl/charts/style10.xml" ContentType="application/vnd.ms-office.chartstyle+xml"/>
  <Override PartName="/xl/charts/colors10.xml" ContentType="application/vnd.ms-office.chartcolorstyle+xml"/>
  <Override PartName="/xl/charts/chartEx4.xml" ContentType="application/vnd.ms-office.chartex+xml"/>
  <Override PartName="/xl/charts/style11.xml" ContentType="application/vnd.ms-office.chartstyle+xml"/>
  <Override PartName="/xl/charts/colors11.xml" ContentType="application/vnd.ms-office.chartcolorstyle+xml"/>
  <Override PartName="/xl/charts/chartEx5.xml" ContentType="application/vnd.ms-office.chartex+xml"/>
  <Override PartName="/xl/charts/style12.xml" ContentType="application/vnd.ms-office.chartstyle+xml"/>
  <Override PartName="/xl/charts/colors12.xml" ContentType="application/vnd.ms-office.chartcolorstyle+xml"/>
  <Override PartName="/xl/charts/chartEx6.xml" ContentType="application/vnd.ms-office.chartex+xml"/>
  <Override PartName="/xl/charts/style13.xml" ContentType="application/vnd.ms-office.chartstyle+xml"/>
  <Override PartName="/xl/charts/colors13.xml" ContentType="application/vnd.ms-office.chartcolorstyle+xml"/>
  <Override PartName="/xl/charts/chartEx7.xml" ContentType="application/vnd.ms-office.chartex+xml"/>
  <Override PartName="/xl/charts/style14.xml" ContentType="application/vnd.ms-office.chartstyle+xml"/>
  <Override PartName="/xl/charts/colors14.xml" ContentType="application/vnd.ms-office.chartcolorstyle+xml"/>
  <Override PartName="/xl/charts/chartEx8.xml" ContentType="application/vnd.ms-office.chartex+xml"/>
  <Override PartName="/xl/charts/style15.xml" ContentType="application/vnd.ms-office.chartstyle+xml"/>
  <Override PartName="/xl/charts/colors15.xml" ContentType="application/vnd.ms-office.chartcolorstyle+xml"/>
  <Override PartName="/xl/charts/chartEx9.xml" ContentType="application/vnd.ms-office.chartex+xml"/>
  <Override PartName="/xl/charts/style16.xml" ContentType="application/vnd.ms-office.chartstyle+xml"/>
  <Override PartName="/xl/charts/colors16.xml" ContentType="application/vnd.ms-office.chartcolorstyle+xml"/>
  <Override PartName="/xl/drawings/drawing7.xml" ContentType="application/vnd.openxmlformats-officedocument.drawing+xml"/>
  <Override PartName="/xl/activeX/activeX3.xml" ContentType="application/vnd.ms-office.activeX+xml"/>
  <Override PartName="/xl/charts/chart8.xml" ContentType="application/vnd.openxmlformats-officedocument.drawingml.chart+xml"/>
  <Override PartName="/xl/charts/style17.xml" ContentType="application/vnd.ms-office.chartstyle+xml"/>
  <Override PartName="/xl/charts/colors17.xml" ContentType="application/vnd.ms-office.chartcolorstyle+xml"/>
  <Override PartName="/xl/charts/chart9.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8.xml" ContentType="application/vnd.openxmlformats-officedocument.drawing+xml"/>
  <Override PartName="/xl/charts/chartEx10.xml" ContentType="application/vnd.ms-office.chartex+xml"/>
  <Override PartName="/xl/charts/style19.xml" ContentType="application/vnd.ms-office.chartstyle+xml"/>
  <Override PartName="/xl/charts/colors19.xml" ContentType="application/vnd.ms-office.chartcolorstyle+xml"/>
  <Override PartName="/xl/charts/chartEx11.xml" ContentType="application/vnd.ms-office.chartex+xml"/>
  <Override PartName="/xl/charts/style20.xml" ContentType="application/vnd.ms-office.chartstyle+xml"/>
  <Override PartName="/xl/charts/colors20.xml" ContentType="application/vnd.ms-office.chartcolorstyle+xml"/>
  <Override PartName="/xl/charts/chartEx12.xml" ContentType="application/vnd.ms-office.chartex+xml"/>
  <Override PartName="/xl/charts/style21.xml" ContentType="application/vnd.ms-office.chartstyle+xml"/>
  <Override PartName="/xl/charts/colors21.xml" ContentType="application/vnd.ms-office.chartcolorstyle+xml"/>
  <Override PartName="/xl/drawings/drawing9.xml" ContentType="application/vnd.openxmlformats-officedocument.drawing+xml"/>
  <Override PartName="/xl/charts/chartEx13.xml" ContentType="application/vnd.ms-office.chartex+xml"/>
  <Override PartName="/xl/charts/style22.xml" ContentType="application/vnd.ms-office.chartstyle+xml"/>
  <Override PartName="/xl/charts/colors22.xml" ContentType="application/vnd.ms-office.chartcolorstyle+xml"/>
  <Override PartName="/xl/charts/chartEx14.xml" ContentType="application/vnd.ms-office.chartex+xml"/>
  <Override PartName="/xl/charts/style23.xml" ContentType="application/vnd.ms-office.chartstyle+xml"/>
  <Override PartName="/xl/charts/colors23.xml" ContentType="application/vnd.ms-office.chartcolorstyle+xml"/>
  <Override PartName="/xl/drawings/drawing10.xml" ContentType="application/vnd.openxmlformats-officedocument.drawing+xml"/>
  <Override PartName="/xl/activeX/activeX4.xml" ContentType="application/vnd.ms-office.activeX+xml"/>
  <Override PartName="/xl/charts/chart10.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activeX/activeX5.xml" ContentType="application/vnd.ms-office.activeX+xml"/>
  <Override PartName="/xl/charts/chart11.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3.xml" ContentType="application/vnd.openxmlformats-officedocument.drawing+xml"/>
  <Override PartName="/xl/activeX/activeX6.xml" ContentType="application/vnd.ms-office.activeX+xml"/>
  <Override PartName="/xl/charts/chart12.xml" ContentType="application/vnd.openxmlformats-officedocument.drawingml.chart+xml"/>
  <Override PartName="/xl/charts/style26.xml" ContentType="application/vnd.ms-office.chartstyle+xml"/>
  <Override PartName="/xl/charts/colors2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BuÇalışmaKitabı"/>
  <mc:AlternateContent xmlns:mc="http://schemas.openxmlformats.org/markup-compatibility/2006">
    <mc:Choice Requires="x15">
      <x15ac:absPath xmlns:x15ac="http://schemas.microsoft.com/office/spreadsheetml/2010/11/ac" url="C:\Users\Muhammet can\OneDrive\Masaüstü\excel şeyleri\"/>
    </mc:Choice>
  </mc:AlternateContent>
  <xr:revisionPtr revIDLastSave="0" documentId="13_ncr:1_{58A5DFC1-9DAD-45FC-AEE2-C8FCBE795DA1}" xr6:coauthVersionLast="47" xr6:coauthVersionMax="47" xr10:uidLastSave="{00000000-0000-0000-0000-000000000000}"/>
  <bookViews>
    <workbookView xWindow="-108" yWindow="-108" windowWidth="23256" windowHeight="12576" tabRatio="795" firstSheet="1" activeTab="6" xr2:uid="{00000000-000D-0000-FFFF-FFFF00000000}"/>
  </bookViews>
  <sheets>
    <sheet name="Grafik1" sheetId="18" state="hidden" r:id="rId1"/>
    <sheet name="PİSA" sheetId="2" r:id="rId2"/>
    <sheet name="KATILIM" sheetId="3" r:id="rId3"/>
    <sheet name="KATILIM2" sheetId="5" r:id="rId4"/>
    <sheet name="LEVELLER" sheetId="6" r:id="rId5"/>
    <sheet name="LEVELLER1" sheetId="7" r:id="rId6"/>
    <sheet name="ORTALAMALAR" sheetId="8" r:id="rId7"/>
    <sheet name="ORTALAMALAR KORELASYON" sheetId="9" r:id="rId8"/>
    <sheet name="ANKET" sheetId="11" r:id="rId9"/>
    <sheet name="ANKET2" sheetId="12" r:id="rId10"/>
    <sheet name="ANKET2 TESTLER(EKSİK_KISIM)" sheetId="19" r:id="rId11"/>
    <sheet name="Sayfa14" sheetId="15" r:id="rId12"/>
    <sheet name="Sayfa16" sheetId="17" r:id="rId13"/>
  </sheets>
  <definedNames>
    <definedName name="ÜLKELER">KATILIM2!$A$3:$A$39</definedName>
    <definedName name="ÜLKELERLVL">LEVELLER!$A$3:$A$38</definedName>
    <definedName name="ÜLKELERORT">ORTALAMALAR!$A$3:$A$80</definedName>
    <definedName name="ÜLKELERSON">Sayfa14!$A$2:$A$66</definedName>
    <definedName name="ÜLKELERSONN">Sayfa16!$A$3:$A$39</definedName>
    <definedName name="ÜLKELERWP">ANKET2!$A$3:$A$80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9" i="17" l="1"/>
  <c r="N9" i="17" s="1"/>
  <c r="O9" i="17" s="1"/>
  <c r="P9" i="17" s="1"/>
  <c r="Q9" i="17" s="1"/>
  <c r="R9" i="17" s="1"/>
  <c r="L11" i="15"/>
  <c r="K11" i="15"/>
  <c r="Q4" i="12"/>
  <c r="R4" i="12" s="1"/>
  <c r="S4" i="12" s="1"/>
  <c r="T4" i="12" s="1"/>
  <c r="U4" i="12" s="1"/>
  <c r="V4" i="12" s="1"/>
  <c r="W4" i="12" s="1"/>
  <c r="X4" i="12" s="1"/>
  <c r="N35" i="8"/>
  <c r="Q35" i="8"/>
  <c r="P35" i="8"/>
  <c r="O35" i="8"/>
  <c r="Q6" i="8"/>
  <c r="P6" i="8"/>
  <c r="O6" i="8"/>
  <c r="AD11" i="6"/>
  <c r="AC5" i="6"/>
  <c r="AC11" i="6" s="1"/>
  <c r="AD5" i="6"/>
  <c r="AD2" i="6"/>
  <c r="AE2" i="6" s="1"/>
  <c r="AF2" i="6" s="1"/>
  <c r="AG2" i="6" s="1"/>
  <c r="AH2" i="6" s="1"/>
  <c r="AI2" i="6" s="1"/>
  <c r="AJ2" i="6" s="1"/>
  <c r="AK2" i="6" s="1"/>
  <c r="Q9" i="5"/>
  <c r="R9" i="5" s="1"/>
  <c r="S9" i="5" s="1"/>
  <c r="T9" i="5" s="1"/>
  <c r="D80" i="3"/>
  <c r="D79" i="3"/>
  <c r="D78" i="3"/>
  <c r="D77" i="3"/>
  <c r="D76" i="3"/>
  <c r="D75" i="3"/>
  <c r="D74" i="3"/>
  <c r="D73" i="3"/>
  <c r="D72" i="3"/>
  <c r="D71" i="3"/>
  <c r="D70" i="3"/>
  <c r="D69" i="3"/>
  <c r="D68" i="3"/>
  <c r="D67" i="3"/>
  <c r="D66" i="3"/>
  <c r="D65" i="3"/>
  <c r="D64" i="3"/>
  <c r="D63" i="3"/>
  <c r="D6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D33" i="3"/>
  <c r="D32" i="3"/>
  <c r="D31" i="3"/>
  <c r="D30" i="3"/>
  <c r="D29" i="3"/>
  <c r="D28" i="3"/>
  <c r="D27" i="3"/>
  <c r="D26" i="3"/>
  <c r="D25" i="3"/>
  <c r="D24" i="3"/>
  <c r="D23" i="3"/>
  <c r="D22" i="3"/>
  <c r="D21" i="3"/>
  <c r="D20" i="3"/>
  <c r="D19" i="3"/>
  <c r="D18" i="3"/>
  <c r="D17" i="3"/>
  <c r="D16" i="3"/>
  <c r="D15" i="3"/>
  <c r="D14" i="3"/>
  <c r="D13" i="3"/>
  <c r="D12" i="3"/>
  <c r="D11" i="3"/>
  <c r="D10" i="3"/>
  <c r="D9" i="3"/>
  <c r="D8" i="3"/>
  <c r="D7" i="3"/>
  <c r="D6" i="3"/>
  <c r="D5" i="3"/>
  <c r="D4" i="3"/>
  <c r="D3" i="3"/>
  <c r="D2" i="3"/>
  <c r="AF11" i="6" l="1"/>
  <c r="AJ11" i="6"/>
  <c r="AI11" i="6"/>
  <c r="AH11" i="6"/>
  <c r="AG11" i="6"/>
  <c r="AE11" i="6"/>
  <c r="AI5" i="6"/>
  <c r="AH5" i="6"/>
  <c r="AG5" i="6"/>
  <c r="AF5" i="6"/>
  <c r="AJ5" i="6"/>
  <c r="AE5" i="6"/>
</calcChain>
</file>

<file path=xl/sharedStrings.xml><?xml version="1.0" encoding="utf-8"?>
<sst xmlns="http://schemas.openxmlformats.org/spreadsheetml/2006/main" count="1583" uniqueCount="271">
  <si>
    <t>ÜLKELER</t>
  </si>
  <si>
    <t>TOPLAM 15 
YAŞINDAKİLER</t>
  </si>
  <si>
    <t>KATILAN ÖGRENCİ 
SAYISI</t>
  </si>
  <si>
    <t>ÖRNEKLEM 
POPULASYON ORANI</t>
  </si>
  <si>
    <t>Australia</t>
  </si>
  <si>
    <t>Austria</t>
  </si>
  <si>
    <t>Belgium</t>
  </si>
  <si>
    <t>Canada</t>
  </si>
  <si>
    <t>Chile</t>
  </si>
  <si>
    <t>Colombia</t>
  </si>
  <si>
    <t>Czech Republic</t>
  </si>
  <si>
    <t>Denmark</t>
  </si>
  <si>
    <t>Estonia</t>
  </si>
  <si>
    <t>Finland</t>
  </si>
  <si>
    <t>France</t>
  </si>
  <si>
    <t>Germany</t>
  </si>
  <si>
    <t>Greece</t>
  </si>
  <si>
    <t>Hungary</t>
  </si>
  <si>
    <t>Iceland</t>
  </si>
  <si>
    <t>Ireland</t>
  </si>
  <si>
    <t>Israel</t>
  </si>
  <si>
    <t>Italy</t>
  </si>
  <si>
    <t>Japan</t>
  </si>
  <si>
    <t>Korea</t>
  </si>
  <si>
    <t>Latvia</t>
  </si>
  <si>
    <t>Lithuania</t>
  </si>
  <si>
    <t>Luxembourg</t>
  </si>
  <si>
    <t>Mexico</t>
  </si>
  <si>
    <t>Netherlands</t>
  </si>
  <si>
    <t>New Zealand</t>
  </si>
  <si>
    <t>Norway</t>
  </si>
  <si>
    <t>Poland</t>
  </si>
  <si>
    <t>Portugal</t>
  </si>
  <si>
    <t>Slovak Republic</t>
  </si>
  <si>
    <t>Slovenia</t>
  </si>
  <si>
    <t>Spain</t>
  </si>
  <si>
    <t>Sweden</t>
  </si>
  <si>
    <t>Switzerland</t>
  </si>
  <si>
    <t>Turkey</t>
  </si>
  <si>
    <t>United Kingdom</t>
  </si>
  <si>
    <t>United States</t>
  </si>
  <si>
    <t>Albania</t>
  </si>
  <si>
    <t>Argentina</t>
  </si>
  <si>
    <t>Baku (Azerbaijan)</t>
  </si>
  <si>
    <t>Belarus</t>
  </si>
  <si>
    <t>Bosnia and Herzegovina</t>
  </si>
  <si>
    <t>Brazil</t>
  </si>
  <si>
    <t>Brunei Darussalam</t>
  </si>
  <si>
    <t>B-S-J-Z (China)</t>
  </si>
  <si>
    <t>Bulgaria</t>
  </si>
  <si>
    <t>Costa Rica</t>
  </si>
  <si>
    <t>Croatia</t>
  </si>
  <si>
    <t>Cyprus</t>
  </si>
  <si>
    <t>Dominican Republic</t>
  </si>
  <si>
    <t>Georgia</t>
  </si>
  <si>
    <t>Hong Kong (China)</t>
  </si>
  <si>
    <t>Indonesia</t>
  </si>
  <si>
    <t>Jordan</t>
  </si>
  <si>
    <t>Kazakhstan</t>
  </si>
  <si>
    <t>Kosovo</t>
  </si>
  <si>
    <t>Lebanon</t>
  </si>
  <si>
    <t>Macao (China)</t>
  </si>
  <si>
    <t>Malaysia</t>
  </si>
  <si>
    <t>Malta</t>
  </si>
  <si>
    <t>Moldova</t>
  </si>
  <si>
    <t>Montenegro</t>
  </si>
  <si>
    <t>Morocco</t>
  </si>
  <si>
    <t>North Macedonia</t>
  </si>
  <si>
    <t>Panama</t>
  </si>
  <si>
    <t>Peru</t>
  </si>
  <si>
    <t>Philippines</t>
  </si>
  <si>
    <t>Qatar</t>
  </si>
  <si>
    <t>Romania</t>
  </si>
  <si>
    <t>Russia</t>
  </si>
  <si>
    <t>Saudi Arabia</t>
  </si>
  <si>
    <t>Serbia</t>
  </si>
  <si>
    <t>Singapore</t>
  </si>
  <si>
    <t>Chinese Taipei</t>
  </si>
  <si>
    <t>Thailand</t>
  </si>
  <si>
    <t>Ukraine</t>
  </si>
  <si>
    <t>United Arab Emirates</t>
  </si>
  <si>
    <t>Uruguay</t>
  </si>
  <si>
    <t>Viet Nam</t>
  </si>
  <si>
    <t>Statistics</t>
  </si>
  <si>
    <t/>
  </si>
  <si>
    <t>TAPLAM2018</t>
  </si>
  <si>
    <t>KTLN_ÖGRC_SAYI</t>
  </si>
  <si>
    <t>ÖRNEKLEM_POPULASYON_ORANI</t>
  </si>
  <si>
    <t>Skewness</t>
  </si>
  <si>
    <t>Std. Error of Skewness</t>
  </si>
  <si>
    <t>Kurtosis</t>
  </si>
  <si>
    <t>Std. Error of Kurtosis</t>
  </si>
  <si>
    <t>Minimum</t>
  </si>
  <si>
    <t>Maximum</t>
  </si>
  <si>
    <t>15 YAŞINDAKİ TOPLAM NUFUS</t>
  </si>
  <si>
    <t>PİSA 2004</t>
  </si>
  <si>
    <t>PİSA 2010</t>
  </si>
  <si>
    <t>PİSA 2015</t>
  </si>
  <si>
    <t>PISA 2018</t>
  </si>
  <si>
    <t>OKUMA</t>
  </si>
  <si>
    <t>MATEMATİK</t>
  </si>
  <si>
    <t>BİLİM</t>
  </si>
  <si>
    <t>LEVEL 1</t>
  </si>
  <si>
    <t>LEVEL 2</t>
  </si>
  <si>
    <t>LEVEL 3</t>
  </si>
  <si>
    <t>LEVEL 4</t>
  </si>
  <si>
    <t>LEVEL 5</t>
  </si>
  <si>
    <t>LEVEL 6</t>
  </si>
  <si>
    <t>LEVEL 7</t>
  </si>
  <si>
    <t>LEVEL 8</t>
  </si>
  <si>
    <t>Netherlands*</t>
  </si>
  <si>
    <t>Portugal*</t>
  </si>
  <si>
    <t>United States*</t>
  </si>
  <si>
    <t>ÜLKELER
YÜZDE</t>
  </si>
  <si>
    <t>LEVEL1</t>
  </si>
  <si>
    <t>LEVEL2</t>
  </si>
  <si>
    <t>LEVEL3</t>
  </si>
  <si>
    <t>LEVEL4</t>
  </si>
  <si>
    <t>LEVEL5</t>
  </si>
  <si>
    <t>LEVEL6</t>
  </si>
  <si>
    <t>LEVEL7</t>
  </si>
  <si>
    <t>LEVEL8</t>
  </si>
  <si>
    <t>Mean</t>
  </si>
  <si>
    <t>Std. Deviation</t>
  </si>
  <si>
    <t>İSRAİL</t>
  </si>
  <si>
    <t>COLOMBİA</t>
  </si>
  <si>
    <t>MEKSİKA</t>
  </si>
  <si>
    <t>S.D.</t>
  </si>
  <si>
    <t>Hong Kong (China)*</t>
  </si>
  <si>
    <t>Viet Nam***</t>
  </si>
  <si>
    <t>OKUMA_ORT</t>
  </si>
  <si>
    <t>OKUMA_STD</t>
  </si>
  <si>
    <t>MAT_ORT</t>
  </si>
  <si>
    <t>MAT_STD</t>
  </si>
  <si>
    <t>BİLİM_ORT</t>
  </si>
  <si>
    <t>BİLİM_STD</t>
  </si>
  <si>
    <t>ANOVA</t>
  </si>
  <si>
    <t>Sum of Squares</t>
  </si>
  <si>
    <t>df</t>
  </si>
  <si>
    <t>Mean Square</t>
  </si>
  <si>
    <t>F</t>
  </si>
  <si>
    <t>Sig.</t>
  </si>
  <si>
    <t>Between Groups</t>
  </si>
  <si>
    <t>Within Groups</t>
  </si>
  <si>
    <t>Total</t>
  </si>
  <si>
    <t>Mathematics performance, by PISA cycle</t>
  </si>
  <si>
    <t>PISA 2003</t>
  </si>
  <si>
    <t>PISA 2006</t>
  </si>
  <si>
    <t>PISA 2005</t>
  </si>
  <si>
    <t>PISA 2010</t>
  </si>
  <si>
    <t>PISA 2007</t>
  </si>
  <si>
    <t>PISA 2008</t>
  </si>
  <si>
    <t>Spain**</t>
  </si>
  <si>
    <t>Correlations</t>
  </si>
  <si>
    <t>Pearson Correlation</t>
  </si>
  <si>
    <r>
      <t>,948</t>
    </r>
    <r>
      <rPr>
        <vertAlign val="superscript"/>
        <sz val="9"/>
        <color indexed="60"/>
        <rFont val="Arial"/>
        <family val="2"/>
        <charset val="162"/>
      </rPr>
      <t>**</t>
    </r>
  </si>
  <si>
    <r>
      <t>,976</t>
    </r>
    <r>
      <rPr>
        <vertAlign val="superscript"/>
        <sz val="9"/>
        <color indexed="60"/>
        <rFont val="Arial"/>
        <family val="2"/>
        <charset val="162"/>
      </rPr>
      <t>**</t>
    </r>
  </si>
  <si>
    <t>Sig. (2-tailed)</t>
  </si>
  <si>
    <t>N</t>
  </si>
  <si>
    <r>
      <t>,967</t>
    </r>
    <r>
      <rPr>
        <vertAlign val="superscript"/>
        <sz val="9"/>
        <color indexed="60"/>
        <rFont val="Arial"/>
        <family val="2"/>
        <charset val="162"/>
      </rPr>
      <t>**</t>
    </r>
  </si>
  <si>
    <r>
      <t>Coefficients</t>
    </r>
    <r>
      <rPr>
        <b/>
        <vertAlign val="superscript"/>
        <sz val="11"/>
        <color indexed="60"/>
        <rFont val="Arial Bold"/>
      </rPr>
      <t>a</t>
    </r>
  </si>
  <si>
    <t>Unstandardized Coefficients</t>
  </si>
  <si>
    <t>Standardized Coefficients</t>
  </si>
  <si>
    <t>t</t>
  </si>
  <si>
    <t>B</t>
  </si>
  <si>
    <t>Std. Error</t>
  </si>
  <si>
    <t>Beta</t>
  </si>
  <si>
    <t>1</t>
  </si>
  <si>
    <t>(Constant)</t>
  </si>
  <si>
    <t>Lebanon(AŞAĞI</t>
  </si>
  <si>
    <t xml:space="preserve"> China</t>
  </si>
  <si>
    <t>ORAN OKUMA</t>
  </si>
  <si>
    <t>ORAN MAT</t>
  </si>
  <si>
    <t>ORAN BİLİM</t>
  </si>
  <si>
    <t xml:space="preserve">  </t>
  </si>
  <si>
    <t>Boys</t>
  </si>
  <si>
    <t>Girls</t>
  </si>
  <si>
    <t>Aşağıdaki ifadelere katılan veya kesinlikle katılan öğrencilerin yüzdesi:</t>
  </si>
  <si>
    <t>sadece mecbur olduğumda okurum</t>
  </si>
  <si>
    <t>en sevdiğim aktivite okumaktır</t>
  </si>
  <si>
    <t>kitaplar hakkında konuşmayı severim</t>
  </si>
  <si>
    <t>okumak zaman kaybıdır</t>
  </si>
  <si>
    <t>sadece bilgi almak için okurum</t>
  </si>
  <si>
    <t>ERKEK</t>
  </si>
  <si>
    <t>KIZ</t>
  </si>
  <si>
    <t>ERKEK_sadece_mecbur_olduğumda_okurum</t>
  </si>
  <si>
    <t>ERKEK_en_sevdiğim_aktivite_okumaktır</t>
  </si>
  <si>
    <t>ERKEK_okumak_zaman_kaybıdır</t>
  </si>
  <si>
    <t>KIZ_sadece_mecbur_olduğumda_okurum</t>
  </si>
  <si>
    <t>KIZ_okumak_zaman_kaybıdır</t>
  </si>
  <si>
    <t>Valid</t>
  </si>
  <si>
    <t>Missing</t>
  </si>
  <si>
    <r>
      <t>,657</t>
    </r>
    <r>
      <rPr>
        <vertAlign val="superscript"/>
        <sz val="9"/>
        <color indexed="60"/>
        <rFont val="Arial"/>
        <family val="2"/>
        <charset val="162"/>
      </rPr>
      <t>**</t>
    </r>
  </si>
  <si>
    <r>
      <t>,596</t>
    </r>
    <r>
      <rPr>
        <vertAlign val="superscript"/>
        <sz val="9"/>
        <color indexed="60"/>
        <rFont val="Arial"/>
        <family val="2"/>
        <charset val="162"/>
      </rPr>
      <t>**</t>
    </r>
  </si>
  <si>
    <r>
      <t>-,755</t>
    </r>
    <r>
      <rPr>
        <vertAlign val="superscript"/>
        <sz val="9"/>
        <color indexed="60"/>
        <rFont val="Arial"/>
        <family val="2"/>
        <charset val="162"/>
      </rPr>
      <t>**</t>
    </r>
  </si>
  <si>
    <t>Regression</t>
  </si>
  <si>
    <r>
      <t>,000</t>
    </r>
    <r>
      <rPr>
        <vertAlign val="superscript"/>
        <sz val="9"/>
        <color indexed="60"/>
        <rFont val="Arial"/>
        <family val="2"/>
        <charset val="162"/>
      </rPr>
      <t>b</t>
    </r>
  </si>
  <si>
    <t>Residual</t>
  </si>
  <si>
    <t>a. Dependent Variable: ERKEK_okumak_zaman_kaybıdır</t>
  </si>
  <si>
    <t>a. Dependent Variable: KIZ_okumak_zaman_kaybıdır</t>
  </si>
  <si>
    <t>b. Predictors: (Constant), ERKEK_sadece_mecbur_olduğumda_okurum</t>
  </si>
  <si>
    <t>b. Predictors: (Constant), KIZ_sadece_mecbur_olduğumda_okurum</t>
  </si>
  <si>
    <t>Coefficientsa</t>
  </si>
  <si>
    <t>OKUMA YAPMA</t>
  </si>
  <si>
    <t>YÜZDELİK</t>
  </si>
  <si>
    <t>YÜZDE</t>
  </si>
  <si>
    <t xml:space="preserve">
Ne olduğunu bilmiyorum</t>
  </si>
  <si>
    <t>Hiçbir zaman veya neredeyse hiçbir zaman</t>
  </si>
  <si>
    <t>Ayda en az birkaç kez</t>
  </si>
  <si>
    <t>Günde bir kaç kez</t>
  </si>
  <si>
    <t>OECD average-37</t>
  </si>
  <si>
    <t>WP KULLANIM
ÜLKELER</t>
  </si>
  <si>
    <r>
      <t>Belgium</t>
    </r>
    <r>
      <rPr>
        <vertAlign val="superscript"/>
        <sz val="10"/>
        <rFont val="Arial"/>
        <family val="2"/>
      </rPr>
      <t>2</t>
    </r>
  </si>
  <si>
    <t>OECD average-36a</t>
  </si>
  <si>
    <t>Cinsiyete göre bilim ve matematik alanında en iyi performans gösterenler 
arasında bilim ve mühendislik profesyonelleri olarak çalışma beklentisi</t>
  </si>
  <si>
    <t>ÜLKELER(YÜZDE)</t>
  </si>
  <si>
    <t>PİSA 2006</t>
  </si>
  <si>
    <t>PİSA 2009</t>
  </si>
  <si>
    <t>PİSA 2012</t>
  </si>
  <si>
    <t>PİSA 2018</t>
  </si>
  <si>
    <t>Model-MAT</t>
  </si>
  <si>
    <t>Fark</t>
  </si>
  <si>
    <t>Erkek</t>
  </si>
  <si>
    <t>Kız</t>
  </si>
  <si>
    <t>OKUMA_LVL1</t>
  </si>
  <si>
    <t>OKUMA_LVL2</t>
  </si>
  <si>
    <t>OKUMA_LVL3</t>
  </si>
  <si>
    <t>OKUMA_LVL4</t>
  </si>
  <si>
    <t>OKUMA_LVL5</t>
  </si>
  <si>
    <t>OKUMA_LVL6</t>
  </si>
  <si>
    <t>OKUMA_LVL7</t>
  </si>
  <si>
    <t>OKUMA_LVL8</t>
  </si>
  <si>
    <t>MAT_LVL1</t>
  </si>
  <si>
    <t>MAT_LVL2</t>
  </si>
  <si>
    <t>MAT_LVL3</t>
  </si>
  <si>
    <t>MAT_LVL4</t>
  </si>
  <si>
    <t>MAT_LVL5</t>
  </si>
  <si>
    <t>MAT_LVL6</t>
  </si>
  <si>
    <t>MAT_LVL7</t>
  </si>
  <si>
    <t>BİLİM_LVL1</t>
  </si>
  <si>
    <t>BİLİM_LVL2</t>
  </si>
  <si>
    <t>BİLİM_LVL3</t>
  </si>
  <si>
    <t>BİLİM_LVL4</t>
  </si>
  <si>
    <t>BİLİM_LVL5</t>
  </si>
  <si>
    <t>BİLİM_LVL6</t>
  </si>
  <si>
    <t>BİLİM_LVL7</t>
  </si>
  <si>
    <t>Czech_Republic</t>
  </si>
  <si>
    <t>New_Zealand</t>
  </si>
  <si>
    <t>Slovak_Republic</t>
  </si>
  <si>
    <t>United_Kingdom</t>
  </si>
  <si>
    <t>United_States</t>
  </si>
  <si>
    <t>OECD_average_37</t>
  </si>
  <si>
    <t>Bosnia_and_Herzegovina</t>
  </si>
  <si>
    <t>Brunei_Darussalam</t>
  </si>
  <si>
    <t>Costa_Rica</t>
  </si>
  <si>
    <t>Dominican_Republic</t>
  </si>
  <si>
    <t>Saudi_Arabia</t>
  </si>
  <si>
    <t>Chinese_Taipei</t>
  </si>
  <si>
    <t>United_Arab_Emirates</t>
  </si>
  <si>
    <t>Viet_Nam</t>
  </si>
  <si>
    <t>Baku_Azerbaijan</t>
  </si>
  <si>
    <t>B_S_J_Z_China</t>
  </si>
  <si>
    <t>Hong_Kong_China</t>
  </si>
  <si>
    <t>Macao_China</t>
  </si>
  <si>
    <t>Independent Samples Test</t>
  </si>
  <si>
    <t>Levene's Test for Equality of Variances</t>
  </si>
  <si>
    <t>t-test for Equality of Means</t>
  </si>
  <si>
    <t>Mean Difference</t>
  </si>
  <si>
    <t>Std. Error Difference</t>
  </si>
  <si>
    <t>Equal variances assumed</t>
  </si>
  <si>
    <t>Equal variances not assumed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</si>
</sst>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0.000"/>
    <numFmt numFmtId="166" formatCode="\(0.0\)"/>
    <numFmt numFmtId="167" formatCode="###0.000"/>
    <numFmt numFmtId="168" formatCode="###0"/>
    <numFmt numFmtId="169" formatCode="###0.0000"/>
    <numFmt numFmtId="170" formatCode="###0.00000"/>
  </numFmts>
  <fonts count="18">
    <font>
      <sz val="11"/>
      <color theme="1"/>
      <name val="Calibri"/>
      <family val="2"/>
      <scheme val="minor"/>
    </font>
    <font>
      <sz val="11"/>
      <color theme="1"/>
      <name val="Calibri"/>
      <family val="2"/>
      <charset val="162"/>
      <scheme val="minor"/>
    </font>
    <font>
      <sz val="48"/>
      <color theme="1"/>
      <name val="Calibri"/>
      <family val="2"/>
      <scheme val="minor"/>
    </font>
    <font>
      <sz val="10"/>
      <name val="Arial"/>
      <family val="2"/>
    </font>
    <font>
      <sz val="10"/>
      <name val="Arial"/>
      <family val="2"/>
      <charset val="162"/>
    </font>
    <font>
      <b/>
      <sz val="11"/>
      <color indexed="60"/>
      <name val="Arial Bold"/>
    </font>
    <font>
      <b/>
      <sz val="10"/>
      <name val="Arial"/>
      <family val="2"/>
    </font>
    <font>
      <sz val="9"/>
      <color indexed="62"/>
      <name val="Arial"/>
      <family val="2"/>
      <charset val="162"/>
    </font>
    <font>
      <sz val="9"/>
      <color indexed="60"/>
      <name val="Arial"/>
      <family val="2"/>
      <charset val="162"/>
    </font>
    <font>
      <vertAlign val="superscript"/>
      <sz val="9"/>
      <color indexed="60"/>
      <name val="Arial"/>
      <family val="2"/>
      <charset val="162"/>
    </font>
    <font>
      <b/>
      <vertAlign val="superscript"/>
      <sz val="11"/>
      <color indexed="60"/>
      <name val="Arial Bold"/>
    </font>
    <font>
      <b/>
      <sz val="10"/>
      <color theme="1"/>
      <name val="Arial"/>
      <family val="2"/>
    </font>
    <font>
      <sz val="16"/>
      <color theme="1"/>
      <name val="Arial"/>
      <family val="2"/>
      <charset val="162"/>
    </font>
    <font>
      <vertAlign val="superscript"/>
      <sz val="10"/>
      <name val="Arial"/>
      <family val="2"/>
    </font>
    <font>
      <sz val="18"/>
      <color theme="1"/>
      <name val="Calibri"/>
      <family val="2"/>
      <scheme val="minor"/>
    </font>
    <font>
      <sz val="10"/>
      <name val="Arial"/>
      <family val="2"/>
      <charset val="162"/>
    </font>
    <font>
      <sz val="9"/>
      <color indexed="62"/>
      <name val="Arial"/>
      <family val="2"/>
      <charset val="162"/>
    </font>
    <font>
      <sz val="9"/>
      <color indexed="60"/>
      <name val="Arial"/>
      <family val="2"/>
      <charset val="162"/>
    </font>
  </fonts>
  <fills count="7">
    <fill>
      <patternFill patternType="none"/>
    </fill>
    <fill>
      <patternFill patternType="gray125"/>
    </fill>
    <fill>
      <patternFill patternType="solid">
        <fgColor rgb="FF8DD787"/>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indexed="31"/>
        <bgColor indexed="64"/>
      </patternFill>
    </fill>
    <fill>
      <patternFill patternType="solid">
        <fgColor rgb="FF00B05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1"/>
      </bottom>
      <diagonal/>
    </border>
    <border>
      <left/>
      <right style="thin">
        <color indexed="63"/>
      </right>
      <top/>
      <bottom style="thin">
        <color indexed="61"/>
      </bottom>
      <diagonal/>
    </border>
    <border>
      <left style="thin">
        <color indexed="63"/>
      </left>
      <right style="thin">
        <color indexed="63"/>
      </right>
      <top/>
      <bottom style="thin">
        <color indexed="61"/>
      </bottom>
      <diagonal/>
    </border>
    <border>
      <left style="thin">
        <color indexed="63"/>
      </left>
      <right/>
      <top/>
      <bottom style="thin">
        <color indexed="61"/>
      </bottom>
      <diagonal/>
    </border>
    <border>
      <left/>
      <right/>
      <top style="thin">
        <color indexed="61"/>
      </top>
      <bottom/>
      <diagonal/>
    </border>
    <border>
      <left/>
      <right/>
      <top style="thin">
        <color indexed="61"/>
      </top>
      <bottom style="thin">
        <color indexed="22"/>
      </bottom>
      <diagonal/>
    </border>
    <border>
      <left/>
      <right style="thin">
        <color indexed="63"/>
      </right>
      <top style="thin">
        <color indexed="61"/>
      </top>
      <bottom style="thin">
        <color indexed="22"/>
      </bottom>
      <diagonal/>
    </border>
    <border>
      <left style="thin">
        <color indexed="63"/>
      </left>
      <right style="thin">
        <color indexed="63"/>
      </right>
      <top style="thin">
        <color indexed="61"/>
      </top>
      <bottom style="thin">
        <color indexed="22"/>
      </bottom>
      <diagonal/>
    </border>
    <border>
      <left style="thin">
        <color indexed="63"/>
      </left>
      <right/>
      <top style="thin">
        <color indexed="61"/>
      </top>
      <bottom style="thin">
        <color indexed="22"/>
      </bottom>
      <diagonal/>
    </border>
    <border>
      <left/>
      <right/>
      <top style="thin">
        <color indexed="22"/>
      </top>
      <bottom style="thin">
        <color indexed="22"/>
      </bottom>
      <diagonal/>
    </border>
    <border>
      <left/>
      <right style="thin">
        <color indexed="63"/>
      </right>
      <top style="thin">
        <color indexed="22"/>
      </top>
      <bottom style="thin">
        <color indexed="22"/>
      </bottom>
      <diagonal/>
    </border>
    <border>
      <left style="thin">
        <color indexed="63"/>
      </left>
      <right style="thin">
        <color indexed="63"/>
      </right>
      <top style="thin">
        <color indexed="22"/>
      </top>
      <bottom style="thin">
        <color indexed="22"/>
      </bottom>
      <diagonal/>
    </border>
    <border>
      <left style="thin">
        <color indexed="63"/>
      </left>
      <right/>
      <top style="thin">
        <color indexed="22"/>
      </top>
      <bottom style="thin">
        <color indexed="22"/>
      </bottom>
      <diagonal/>
    </border>
    <border>
      <left/>
      <right/>
      <top/>
      <bottom style="thin">
        <color indexed="22"/>
      </bottom>
      <diagonal/>
    </border>
    <border>
      <left/>
      <right/>
      <top style="thin">
        <color indexed="22"/>
      </top>
      <bottom/>
      <diagonal/>
    </border>
    <border>
      <left/>
      <right style="thin">
        <color indexed="63"/>
      </right>
      <top style="thin">
        <color indexed="22"/>
      </top>
      <bottom/>
      <diagonal/>
    </border>
    <border>
      <left style="thin">
        <color indexed="63"/>
      </left>
      <right style="thin">
        <color indexed="63"/>
      </right>
      <top style="thin">
        <color indexed="22"/>
      </top>
      <bottom/>
      <diagonal/>
    </border>
    <border>
      <left style="thin">
        <color indexed="63"/>
      </left>
      <right/>
      <top style="thin">
        <color indexed="22"/>
      </top>
      <bottom/>
      <diagonal/>
    </border>
    <border>
      <left/>
      <right/>
      <top style="thin">
        <color indexed="22"/>
      </top>
      <bottom style="thin">
        <color indexed="61"/>
      </bottom>
      <diagonal/>
    </border>
    <border>
      <left/>
      <right style="thin">
        <color indexed="63"/>
      </right>
      <top style="thin">
        <color indexed="22"/>
      </top>
      <bottom style="thin">
        <color indexed="61"/>
      </bottom>
      <diagonal/>
    </border>
    <border>
      <left style="thin">
        <color indexed="63"/>
      </left>
      <right style="thin">
        <color indexed="63"/>
      </right>
      <top style="thin">
        <color indexed="22"/>
      </top>
      <bottom style="thin">
        <color indexed="61"/>
      </bottom>
      <diagonal/>
    </border>
    <border>
      <left style="thin">
        <color indexed="63"/>
      </left>
      <right/>
      <top style="thin">
        <color indexed="22"/>
      </top>
      <bottom style="thin">
        <color indexed="61"/>
      </bottom>
      <diagonal/>
    </border>
    <border>
      <left/>
      <right style="thin">
        <color indexed="63"/>
      </right>
      <top/>
      <bottom/>
      <diagonal/>
    </border>
    <border>
      <left style="thin">
        <color indexed="63"/>
      </left>
      <right style="thin">
        <color indexed="63"/>
      </right>
      <top/>
      <bottom/>
      <diagonal/>
    </border>
    <border>
      <left style="thin">
        <color indexed="63"/>
      </left>
      <right/>
      <top/>
      <bottom/>
      <diagonal/>
    </border>
    <border diagonalDown="1">
      <left style="thin">
        <color indexed="64"/>
      </left>
      <right style="thin">
        <color indexed="64"/>
      </right>
      <top style="thin">
        <color indexed="64"/>
      </top>
      <bottom style="thin">
        <color indexed="64"/>
      </bottom>
      <diagonal style="thin">
        <color indexed="64"/>
      </diagonal>
    </border>
    <border>
      <left/>
      <right/>
      <top style="thin">
        <color indexed="64"/>
      </top>
      <bottom/>
      <diagonal/>
    </border>
  </borders>
  <cellStyleXfs count="9">
    <xf numFmtId="0" fontId="0" fillId="0" borderId="0"/>
    <xf numFmtId="0" fontId="3" fillId="0" borderId="0"/>
    <xf numFmtId="0" fontId="3" fillId="0" borderId="0"/>
    <xf numFmtId="0" fontId="3" fillId="0" borderId="0"/>
    <xf numFmtId="0" fontId="4" fillId="0" borderId="0"/>
    <xf numFmtId="0" fontId="4" fillId="0" borderId="0"/>
    <xf numFmtId="0" fontId="15" fillId="0" borderId="0"/>
    <xf numFmtId="0" fontId="15" fillId="0" borderId="0"/>
    <xf numFmtId="0" fontId="4" fillId="0" borderId="0"/>
  </cellStyleXfs>
  <cellXfs count="212">
    <xf numFmtId="0" fontId="0" fillId="0" borderId="0" xfId="0"/>
    <xf numFmtId="0" fontId="0" fillId="2" borderId="0" xfId="0" applyFill="1"/>
    <xf numFmtId="0" fontId="0" fillId="3" borderId="0" xfId="0" applyFill="1"/>
    <xf numFmtId="0" fontId="0" fillId="3" borderId="1" xfId="0" applyFill="1" applyBorder="1" applyAlignment="1">
      <alignment vertical="center"/>
    </xf>
    <xf numFmtId="0" fontId="0" fillId="3" borderId="1" xfId="0" applyFill="1" applyBorder="1" applyAlignment="1">
      <alignment wrapText="1"/>
    </xf>
    <xf numFmtId="0" fontId="0" fillId="3" borderId="1" xfId="0" applyFill="1" applyBorder="1"/>
    <xf numFmtId="0" fontId="0" fillId="3" borderId="1" xfId="0" applyFill="1" applyBorder="1" applyAlignment="1">
      <alignment horizontal="center"/>
    </xf>
    <xf numFmtId="164" fontId="0" fillId="3" borderId="1" xfId="0" applyNumberFormat="1" applyFill="1" applyBorder="1" applyAlignment="1">
      <alignment horizontal="center"/>
    </xf>
    <xf numFmtId="165" fontId="0" fillId="3" borderId="1" xfId="0" applyNumberFormat="1" applyFill="1" applyBorder="1" applyAlignment="1">
      <alignment horizontal="center"/>
    </xf>
    <xf numFmtId="2" fontId="0" fillId="3" borderId="1" xfId="0" applyNumberFormat="1" applyFill="1" applyBorder="1" applyAlignment="1">
      <alignment horizontal="center"/>
    </xf>
    <xf numFmtId="164" fontId="0" fillId="2" borderId="0" xfId="0" applyNumberFormat="1" applyFill="1"/>
    <xf numFmtId="164" fontId="0" fillId="4" borderId="1" xfId="0" applyNumberFormat="1" applyFill="1" applyBorder="1" applyAlignment="1">
      <alignment horizontal="center"/>
    </xf>
    <xf numFmtId="164" fontId="0" fillId="0" borderId="0" xfId="0" applyNumberFormat="1"/>
    <xf numFmtId="0" fontId="7" fillId="0" borderId="8" xfId="4" applyFont="1" applyBorder="1" applyAlignment="1">
      <alignment horizontal="center" wrapText="1"/>
    </xf>
    <xf numFmtId="0" fontId="7" fillId="0" borderId="9" xfId="4" applyFont="1" applyBorder="1" applyAlignment="1">
      <alignment horizontal="center" wrapText="1"/>
    </xf>
    <xf numFmtId="0" fontId="7" fillId="0" borderId="10" xfId="4" applyFont="1" applyBorder="1" applyAlignment="1">
      <alignment horizontal="center" wrapText="1"/>
    </xf>
    <xf numFmtId="0" fontId="7" fillId="5" borderId="12" xfId="4" applyFont="1" applyFill="1" applyBorder="1" applyAlignment="1">
      <alignment horizontal="left" vertical="top" wrapText="1"/>
    </xf>
    <xf numFmtId="167" fontId="8" fillId="0" borderId="13" xfId="4" applyNumberFormat="1" applyFont="1" applyBorder="1" applyAlignment="1">
      <alignment horizontal="right" vertical="top"/>
    </xf>
    <xf numFmtId="167" fontId="8" fillId="0" borderId="14" xfId="4" applyNumberFormat="1" applyFont="1" applyBorder="1" applyAlignment="1">
      <alignment horizontal="right" vertical="top"/>
    </xf>
    <xf numFmtId="167" fontId="8" fillId="0" borderId="15" xfId="4" applyNumberFormat="1" applyFont="1" applyBorder="1" applyAlignment="1">
      <alignment horizontal="right" vertical="top"/>
    </xf>
    <xf numFmtId="0" fontId="7" fillId="5" borderId="16" xfId="4" applyFont="1" applyFill="1" applyBorder="1" applyAlignment="1">
      <alignment horizontal="left" vertical="top" wrapText="1"/>
    </xf>
    <xf numFmtId="167" fontId="8" fillId="0" borderId="17" xfId="4" applyNumberFormat="1" applyFont="1" applyBorder="1" applyAlignment="1">
      <alignment horizontal="right" vertical="top"/>
    </xf>
    <xf numFmtId="168" fontId="8" fillId="0" borderId="18" xfId="4" applyNumberFormat="1" applyFont="1" applyBorder="1" applyAlignment="1">
      <alignment horizontal="right" vertical="top"/>
    </xf>
    <xf numFmtId="167" fontId="8" fillId="0" borderId="18" xfId="4" applyNumberFormat="1" applyFont="1" applyBorder="1" applyAlignment="1">
      <alignment horizontal="right" vertical="top"/>
    </xf>
    <xf numFmtId="0" fontId="8" fillId="0" borderId="18" xfId="4" applyFont="1" applyBorder="1" applyAlignment="1">
      <alignment horizontal="left" vertical="top" wrapText="1"/>
    </xf>
    <xf numFmtId="0" fontId="8" fillId="0" borderId="19" xfId="4" applyFont="1" applyBorder="1" applyAlignment="1">
      <alignment horizontal="left" vertical="top" wrapText="1"/>
    </xf>
    <xf numFmtId="0" fontId="7" fillId="5" borderId="21" xfId="4" applyFont="1" applyFill="1" applyBorder="1" applyAlignment="1">
      <alignment horizontal="left" vertical="top" wrapText="1"/>
    </xf>
    <xf numFmtId="168" fontId="8" fillId="0" borderId="23" xfId="4" applyNumberFormat="1" applyFont="1" applyBorder="1" applyAlignment="1">
      <alignment horizontal="right" vertical="top"/>
    </xf>
    <xf numFmtId="167" fontId="8" fillId="0" borderId="19" xfId="4" applyNumberFormat="1" applyFont="1" applyBorder="1" applyAlignment="1">
      <alignment horizontal="right" vertical="top"/>
    </xf>
    <xf numFmtId="0" fontId="7" fillId="5" borderId="25" xfId="4" applyFont="1" applyFill="1" applyBorder="1" applyAlignment="1">
      <alignment horizontal="left" vertical="top" wrapText="1"/>
    </xf>
    <xf numFmtId="167" fontId="8" fillId="0" borderId="26" xfId="4" applyNumberFormat="1" applyFont="1" applyBorder="1" applyAlignment="1">
      <alignment horizontal="right" vertical="top"/>
    </xf>
    <xf numFmtId="168" fontId="8" fillId="0" borderId="27" xfId="4" applyNumberFormat="1" applyFont="1" applyBorder="1" applyAlignment="1">
      <alignment horizontal="right" vertical="top"/>
    </xf>
    <xf numFmtId="168" fontId="8" fillId="0" borderId="13" xfId="4" applyNumberFormat="1" applyFont="1" applyBorder="1" applyAlignment="1">
      <alignment horizontal="right" vertical="top"/>
    </xf>
    <xf numFmtId="0" fontId="8" fillId="0" borderId="14" xfId="4" applyFont="1" applyBorder="1" applyAlignment="1">
      <alignment horizontal="right" vertical="top"/>
    </xf>
    <xf numFmtId="0" fontId="8" fillId="0" borderId="15" xfId="4" applyFont="1" applyBorder="1" applyAlignment="1">
      <alignment horizontal="right" vertical="top"/>
    </xf>
    <xf numFmtId="0" fontId="8" fillId="0" borderId="17" xfId="4" applyFont="1" applyBorder="1" applyAlignment="1">
      <alignment horizontal="left" vertical="top" wrapText="1"/>
    </xf>
    <xf numFmtId="168" fontId="8" fillId="0" borderId="22" xfId="4" applyNumberFormat="1" applyFont="1" applyBorder="1" applyAlignment="1">
      <alignment horizontal="right" vertical="top"/>
    </xf>
    <xf numFmtId="168" fontId="8" fillId="0" borderId="24" xfId="4" applyNumberFormat="1" applyFont="1" applyBorder="1" applyAlignment="1">
      <alignment horizontal="right" vertical="top"/>
    </xf>
    <xf numFmtId="0" fontId="8" fillId="0" borderId="17" xfId="4" applyFont="1" applyBorder="1" applyAlignment="1">
      <alignment horizontal="right" vertical="top"/>
    </xf>
    <xf numFmtId="0" fontId="8" fillId="0" borderId="19" xfId="4" applyFont="1" applyBorder="1" applyAlignment="1">
      <alignment horizontal="right" vertical="top"/>
    </xf>
    <xf numFmtId="0" fontId="8" fillId="0" borderId="18" xfId="4" applyFont="1" applyBorder="1" applyAlignment="1">
      <alignment horizontal="right" vertical="top"/>
    </xf>
    <xf numFmtId="168" fontId="8" fillId="0" borderId="19" xfId="4" applyNumberFormat="1" applyFont="1" applyBorder="1" applyAlignment="1">
      <alignment horizontal="right" vertical="top"/>
    </xf>
    <xf numFmtId="168" fontId="8" fillId="0" borderId="26" xfId="4" applyNumberFormat="1" applyFont="1" applyBorder="1" applyAlignment="1">
      <alignment horizontal="right" vertical="top"/>
    </xf>
    <xf numFmtId="168" fontId="8" fillId="0" borderId="28" xfId="4" applyNumberFormat="1" applyFont="1" applyBorder="1" applyAlignment="1">
      <alignment horizontal="right" vertical="top"/>
    </xf>
    <xf numFmtId="0" fontId="7" fillId="0" borderId="30" xfId="4" applyFont="1" applyBorder="1" applyAlignment="1">
      <alignment horizontal="center" wrapText="1"/>
    </xf>
    <xf numFmtId="0" fontId="8" fillId="0" borderId="14" xfId="4" applyFont="1" applyBorder="1" applyAlignment="1">
      <alignment horizontal="left" vertical="top" wrapText="1"/>
    </xf>
    <xf numFmtId="167" fontId="8" fillId="0" borderId="27" xfId="4" applyNumberFormat="1" applyFont="1" applyBorder="1" applyAlignment="1">
      <alignment horizontal="right" vertical="top"/>
    </xf>
    <xf numFmtId="167" fontId="8" fillId="0" borderId="28" xfId="4" applyNumberFormat="1" applyFont="1" applyBorder="1" applyAlignment="1">
      <alignment horizontal="right" vertical="top"/>
    </xf>
    <xf numFmtId="0" fontId="6" fillId="4" borderId="1" xfId="3" applyFont="1" applyFill="1" applyBorder="1" applyAlignment="1">
      <alignment vertical="center" wrapText="1"/>
    </xf>
    <xf numFmtId="0" fontId="6" fillId="4" borderId="1" xfId="3" applyFont="1" applyFill="1" applyBorder="1" applyAlignment="1">
      <alignment horizontal="center" vertical="center" wrapText="1"/>
    </xf>
    <xf numFmtId="166" fontId="6" fillId="4" borderId="1" xfId="3" applyNumberFormat="1" applyFont="1" applyFill="1" applyBorder="1" applyAlignment="1">
      <alignment vertical="center" wrapText="1"/>
    </xf>
    <xf numFmtId="0" fontId="6" fillId="4" borderId="32" xfId="3" applyFont="1" applyFill="1" applyBorder="1" applyAlignment="1">
      <alignment horizontal="left" vertical="center" wrapText="1" indent="5"/>
    </xf>
    <xf numFmtId="0" fontId="7" fillId="5" borderId="12" xfId="5" applyFont="1" applyFill="1" applyBorder="1" applyAlignment="1">
      <alignment horizontal="left" vertical="top" wrapText="1"/>
    </xf>
    <xf numFmtId="0" fontId="7" fillId="5" borderId="16" xfId="5" applyFont="1" applyFill="1" applyBorder="1" applyAlignment="1">
      <alignment horizontal="left" vertical="top" wrapText="1"/>
    </xf>
    <xf numFmtId="0" fontId="7" fillId="5" borderId="25" xfId="5" applyFont="1" applyFill="1" applyBorder="1" applyAlignment="1">
      <alignment horizontal="left" vertical="top" wrapText="1"/>
    </xf>
    <xf numFmtId="0" fontId="7" fillId="5" borderId="21" xfId="5" applyFont="1" applyFill="1" applyBorder="1" applyAlignment="1">
      <alignment horizontal="left" vertical="top" wrapText="1"/>
    </xf>
    <xf numFmtId="0" fontId="7" fillId="5" borderId="20" xfId="5" applyFont="1" applyFill="1" applyBorder="1" applyAlignment="1">
      <alignment horizontal="left" vertical="top" wrapText="1"/>
    </xf>
    <xf numFmtId="166" fontId="6" fillId="4" borderId="1" xfId="3" applyNumberFormat="1" applyFont="1" applyFill="1" applyBorder="1" applyAlignment="1">
      <alignment horizontal="center" vertical="center" wrapText="1"/>
    </xf>
    <xf numFmtId="164" fontId="0" fillId="3" borderId="1" xfId="0" applyNumberFormat="1" applyFill="1" applyBorder="1" applyAlignment="1">
      <alignment horizontal="center" vertical="center"/>
    </xf>
    <xf numFmtId="164" fontId="1" fillId="3" borderId="1" xfId="0" applyNumberFormat="1" applyFont="1" applyFill="1" applyBorder="1" applyAlignment="1">
      <alignment horizontal="center"/>
    </xf>
    <xf numFmtId="0" fontId="16" fillId="0" borderId="8" xfId="6" applyFont="1" applyBorder="1" applyAlignment="1">
      <alignment horizontal="center" wrapText="1"/>
    </xf>
    <xf numFmtId="0" fontId="16" fillId="0" borderId="9" xfId="6" applyFont="1" applyBorder="1" applyAlignment="1">
      <alignment horizontal="center" wrapText="1"/>
    </xf>
    <xf numFmtId="0" fontId="16" fillId="0" borderId="10" xfId="6" applyFont="1" applyBorder="1" applyAlignment="1">
      <alignment horizontal="center" wrapText="1"/>
    </xf>
    <xf numFmtId="0" fontId="16" fillId="5" borderId="12" xfId="6" applyFont="1" applyFill="1" applyBorder="1" applyAlignment="1">
      <alignment horizontal="left" vertical="top" wrapText="1"/>
    </xf>
    <xf numFmtId="168" fontId="17" fillId="0" borderId="13" xfId="6" applyNumberFormat="1" applyFont="1" applyBorder="1" applyAlignment="1">
      <alignment horizontal="right" vertical="top"/>
    </xf>
    <xf numFmtId="168" fontId="17" fillId="0" borderId="14" xfId="6" applyNumberFormat="1" applyFont="1" applyBorder="1" applyAlignment="1">
      <alignment horizontal="right" vertical="top"/>
    </xf>
    <xf numFmtId="168" fontId="17" fillId="0" borderId="15" xfId="6" applyNumberFormat="1" applyFont="1" applyBorder="1" applyAlignment="1">
      <alignment horizontal="right" vertical="top"/>
    </xf>
    <xf numFmtId="0" fontId="16" fillId="5" borderId="16" xfId="6" applyFont="1" applyFill="1" applyBorder="1" applyAlignment="1">
      <alignment horizontal="left" vertical="top" wrapText="1"/>
    </xf>
    <xf numFmtId="168" fontId="17" fillId="0" borderId="17" xfId="6" applyNumberFormat="1" applyFont="1" applyBorder="1" applyAlignment="1">
      <alignment horizontal="right" vertical="top"/>
    </xf>
    <xf numFmtId="168" fontId="17" fillId="0" borderId="18" xfId="6" applyNumberFormat="1" applyFont="1" applyBorder="1" applyAlignment="1">
      <alignment horizontal="right" vertical="top"/>
    </xf>
    <xf numFmtId="168" fontId="17" fillId="0" borderId="19" xfId="6" applyNumberFormat="1" applyFont="1" applyBorder="1" applyAlignment="1">
      <alignment horizontal="right" vertical="top"/>
    </xf>
    <xf numFmtId="169" fontId="17" fillId="0" borderId="17" xfId="6" applyNumberFormat="1" applyFont="1" applyBorder="1" applyAlignment="1">
      <alignment horizontal="right" vertical="top"/>
    </xf>
    <xf numFmtId="169" fontId="17" fillId="0" borderId="18" xfId="6" applyNumberFormat="1" applyFont="1" applyBorder="1" applyAlignment="1">
      <alignment horizontal="right" vertical="top"/>
    </xf>
    <xf numFmtId="169" fontId="17" fillId="0" borderId="19" xfId="6" applyNumberFormat="1" applyFont="1" applyBorder="1" applyAlignment="1">
      <alignment horizontal="right" vertical="top"/>
    </xf>
    <xf numFmtId="167" fontId="17" fillId="0" borderId="17" xfId="6" applyNumberFormat="1" applyFont="1" applyBorder="1" applyAlignment="1">
      <alignment horizontal="right" vertical="top"/>
    </xf>
    <xf numFmtId="167" fontId="17" fillId="0" borderId="18" xfId="6" applyNumberFormat="1" applyFont="1" applyBorder="1" applyAlignment="1">
      <alignment horizontal="right" vertical="top"/>
    </xf>
    <xf numFmtId="167" fontId="17" fillId="0" borderId="19" xfId="6" applyNumberFormat="1" applyFont="1" applyBorder="1" applyAlignment="1">
      <alignment horizontal="right" vertical="top"/>
    </xf>
    <xf numFmtId="167" fontId="17" fillId="0" borderId="26" xfId="6" applyNumberFormat="1" applyFont="1" applyBorder="1" applyAlignment="1">
      <alignment horizontal="right" vertical="top"/>
    </xf>
    <xf numFmtId="167" fontId="17" fillId="0" borderId="27" xfId="6" applyNumberFormat="1" applyFont="1" applyBorder="1" applyAlignment="1">
      <alignment horizontal="right" vertical="top"/>
    </xf>
    <xf numFmtId="167" fontId="17" fillId="0" borderId="28" xfId="6" applyNumberFormat="1" applyFont="1" applyBorder="1" applyAlignment="1">
      <alignment horizontal="right" vertical="top"/>
    </xf>
    <xf numFmtId="0" fontId="16" fillId="0" borderId="8" xfId="7" applyFont="1" applyBorder="1" applyAlignment="1">
      <alignment horizontal="center" wrapText="1"/>
    </xf>
    <xf numFmtId="0" fontId="16" fillId="0" borderId="9" xfId="7" applyFont="1" applyBorder="1" applyAlignment="1">
      <alignment horizontal="center" wrapText="1"/>
    </xf>
    <xf numFmtId="0" fontId="16" fillId="5" borderId="12" xfId="7" applyFont="1" applyFill="1" applyBorder="1" applyAlignment="1">
      <alignment horizontal="left" vertical="top" wrapText="1"/>
    </xf>
    <xf numFmtId="167" fontId="17" fillId="0" borderId="13" xfId="7" applyNumberFormat="1" applyFont="1" applyBorder="1" applyAlignment="1">
      <alignment horizontal="right" vertical="top"/>
    </xf>
    <xf numFmtId="168" fontId="17" fillId="0" borderId="14" xfId="7" applyNumberFormat="1" applyFont="1" applyBorder="1" applyAlignment="1">
      <alignment horizontal="right" vertical="top"/>
    </xf>
    <xf numFmtId="167" fontId="17" fillId="0" borderId="14" xfId="7" applyNumberFormat="1" applyFont="1" applyBorder="1" applyAlignment="1">
      <alignment horizontal="right" vertical="top"/>
    </xf>
    <xf numFmtId="167" fontId="17" fillId="0" borderId="15" xfId="7" applyNumberFormat="1" applyFont="1" applyBorder="1" applyAlignment="1">
      <alignment horizontal="right" vertical="top"/>
    </xf>
    <xf numFmtId="0" fontId="16" fillId="5" borderId="16" xfId="7" applyFont="1" applyFill="1" applyBorder="1" applyAlignment="1">
      <alignment horizontal="left" vertical="top" wrapText="1"/>
    </xf>
    <xf numFmtId="167" fontId="17" fillId="0" borderId="17" xfId="7" applyNumberFormat="1" applyFont="1" applyBorder="1" applyAlignment="1">
      <alignment horizontal="right" vertical="top"/>
    </xf>
    <xf numFmtId="168" fontId="17" fillId="0" borderId="18" xfId="7" applyNumberFormat="1" applyFont="1" applyBorder="1" applyAlignment="1">
      <alignment horizontal="right" vertical="top"/>
    </xf>
    <xf numFmtId="167" fontId="17" fillId="0" borderId="18" xfId="7" applyNumberFormat="1" applyFont="1" applyBorder="1" applyAlignment="1">
      <alignment horizontal="right" vertical="top"/>
    </xf>
    <xf numFmtId="0" fontId="17" fillId="0" borderId="18" xfId="7" applyFont="1" applyBorder="1" applyAlignment="1">
      <alignment horizontal="left" vertical="top" wrapText="1"/>
    </xf>
    <xf numFmtId="0" fontId="17" fillId="0" borderId="19" xfId="7" applyFont="1" applyBorder="1" applyAlignment="1">
      <alignment horizontal="left" vertical="top" wrapText="1"/>
    </xf>
    <xf numFmtId="0" fontId="16" fillId="5" borderId="21" xfId="7" applyFont="1" applyFill="1" applyBorder="1" applyAlignment="1">
      <alignment horizontal="left" vertical="top" wrapText="1"/>
    </xf>
    <xf numFmtId="167" fontId="17" fillId="0" borderId="22" xfId="7" applyNumberFormat="1" applyFont="1" applyBorder="1" applyAlignment="1">
      <alignment horizontal="right" vertical="top"/>
    </xf>
    <xf numFmtId="168" fontId="17" fillId="0" borderId="23" xfId="7" applyNumberFormat="1" applyFont="1" applyBorder="1" applyAlignment="1">
      <alignment horizontal="right" vertical="top"/>
    </xf>
    <xf numFmtId="0" fontId="17" fillId="0" borderId="23" xfId="7" applyFont="1" applyBorder="1" applyAlignment="1">
      <alignment horizontal="left" vertical="top" wrapText="1"/>
    </xf>
    <xf numFmtId="0" fontId="17" fillId="0" borderId="24" xfId="7" applyFont="1" applyBorder="1" applyAlignment="1">
      <alignment horizontal="left" vertical="top" wrapText="1"/>
    </xf>
    <xf numFmtId="167" fontId="17" fillId="0" borderId="19" xfId="7" applyNumberFormat="1" applyFont="1" applyBorder="1" applyAlignment="1">
      <alignment horizontal="right" vertical="top"/>
    </xf>
    <xf numFmtId="0" fontId="16" fillId="5" borderId="25" xfId="7" applyFont="1" applyFill="1" applyBorder="1" applyAlignment="1">
      <alignment horizontal="left" vertical="top" wrapText="1"/>
    </xf>
    <xf numFmtId="167" fontId="17" fillId="0" borderId="26" xfId="7" applyNumberFormat="1" applyFont="1" applyBorder="1" applyAlignment="1">
      <alignment horizontal="right" vertical="top"/>
    </xf>
    <xf numFmtId="168" fontId="17" fillId="0" borderId="27" xfId="7" applyNumberFormat="1" applyFont="1" applyBorder="1" applyAlignment="1">
      <alignment horizontal="right" vertical="top"/>
    </xf>
    <xf numFmtId="0" fontId="17" fillId="0" borderId="27" xfId="7" applyFont="1" applyBorder="1" applyAlignment="1">
      <alignment horizontal="left" vertical="top" wrapText="1"/>
    </xf>
    <xf numFmtId="0" fontId="17" fillId="0" borderId="28" xfId="7" applyFont="1" applyBorder="1" applyAlignment="1">
      <alignment horizontal="left" vertical="top" wrapText="1"/>
    </xf>
    <xf numFmtId="170" fontId="17" fillId="0" borderId="14" xfId="7" applyNumberFormat="1" applyFont="1" applyBorder="1" applyAlignment="1">
      <alignment horizontal="right" vertical="top"/>
    </xf>
    <xf numFmtId="0" fontId="17" fillId="0" borderId="22" xfId="7" applyFont="1" applyBorder="1" applyAlignment="1">
      <alignment horizontal="left" vertical="top" wrapText="1"/>
    </xf>
    <xf numFmtId="167" fontId="17" fillId="0" borderId="23" xfId="7" applyNumberFormat="1" applyFont="1" applyBorder="1" applyAlignment="1">
      <alignment horizontal="right" vertical="top"/>
    </xf>
    <xf numFmtId="170" fontId="17" fillId="0" borderId="23" xfId="7" applyNumberFormat="1" applyFont="1" applyBorder="1" applyAlignment="1">
      <alignment horizontal="right" vertical="top"/>
    </xf>
    <xf numFmtId="170" fontId="17" fillId="0" borderId="18" xfId="7" applyNumberFormat="1" applyFont="1" applyBorder="1" applyAlignment="1">
      <alignment horizontal="right" vertical="top"/>
    </xf>
    <xf numFmtId="0" fontId="17" fillId="0" borderId="26" xfId="7" applyFont="1" applyBorder="1" applyAlignment="1">
      <alignment horizontal="left" vertical="top" wrapText="1"/>
    </xf>
    <xf numFmtId="167" fontId="17" fillId="0" borderId="27" xfId="7" applyNumberFormat="1" applyFont="1" applyBorder="1" applyAlignment="1">
      <alignment horizontal="right" vertical="top"/>
    </xf>
    <xf numFmtId="170" fontId="17" fillId="0" borderId="27" xfId="7" applyNumberFormat="1" applyFont="1" applyBorder="1" applyAlignment="1">
      <alignment horizontal="right" vertical="top"/>
    </xf>
    <xf numFmtId="0" fontId="16" fillId="6" borderId="10" xfId="7" applyFont="1" applyFill="1" applyBorder="1" applyAlignment="1">
      <alignment horizontal="center" wrapText="1"/>
    </xf>
    <xf numFmtId="0" fontId="7" fillId="5" borderId="12" xfId="8" applyFont="1" applyFill="1" applyBorder="1" applyAlignment="1">
      <alignment horizontal="left" vertical="top" wrapText="1"/>
    </xf>
    <xf numFmtId="0" fontId="8" fillId="0" borderId="13" xfId="8" applyFont="1" applyBorder="1" applyAlignment="1">
      <alignment horizontal="right" vertical="top"/>
    </xf>
    <xf numFmtId="0" fontId="8" fillId="0" borderId="14" xfId="8" applyFont="1" applyBorder="1" applyAlignment="1">
      <alignment horizontal="right" vertical="top"/>
    </xf>
    <xf numFmtId="167" fontId="8" fillId="0" borderId="14" xfId="8" applyNumberFormat="1" applyFont="1" applyBorder="1" applyAlignment="1">
      <alignment horizontal="right" vertical="top"/>
    </xf>
    <xf numFmtId="168" fontId="8" fillId="0" borderId="14" xfId="8" applyNumberFormat="1" applyFont="1" applyBorder="1" applyAlignment="1">
      <alignment horizontal="right" vertical="top"/>
    </xf>
    <xf numFmtId="170" fontId="8" fillId="0" borderId="14" xfId="8" applyNumberFormat="1" applyFont="1" applyBorder="1" applyAlignment="1">
      <alignment horizontal="right" vertical="top"/>
    </xf>
    <xf numFmtId="0" fontId="7" fillId="5" borderId="21" xfId="8" applyFont="1" applyFill="1" applyBorder="1" applyAlignment="1">
      <alignment horizontal="left" vertical="top" wrapText="1"/>
    </xf>
    <xf numFmtId="0" fontId="8" fillId="0" borderId="22" xfId="8" applyFont="1" applyBorder="1" applyAlignment="1">
      <alignment horizontal="left" vertical="top" wrapText="1"/>
    </xf>
    <xf numFmtId="0" fontId="8" fillId="0" borderId="23" xfId="8" applyFont="1" applyBorder="1" applyAlignment="1">
      <alignment horizontal="left" vertical="top" wrapText="1"/>
    </xf>
    <xf numFmtId="167" fontId="8" fillId="0" borderId="23" xfId="8" applyNumberFormat="1" applyFont="1" applyBorder="1" applyAlignment="1">
      <alignment horizontal="right" vertical="top"/>
    </xf>
    <xf numFmtId="170" fontId="8" fillId="0" borderId="23" xfId="8" applyNumberFormat="1" applyFont="1" applyBorder="1" applyAlignment="1">
      <alignment horizontal="right" vertical="top"/>
    </xf>
    <xf numFmtId="0" fontId="7" fillId="5" borderId="16" xfId="8" applyFont="1" applyFill="1" applyBorder="1" applyAlignment="1">
      <alignment horizontal="left" vertical="top" wrapText="1"/>
    </xf>
    <xf numFmtId="0" fontId="8" fillId="0" borderId="17" xfId="8" applyFont="1" applyBorder="1" applyAlignment="1">
      <alignment horizontal="right" vertical="top"/>
    </xf>
    <xf numFmtId="0" fontId="8" fillId="0" borderId="18" xfId="8" applyFont="1" applyBorder="1" applyAlignment="1">
      <alignment horizontal="right" vertical="top"/>
    </xf>
    <xf numFmtId="167" fontId="8" fillId="0" borderId="18" xfId="8" applyNumberFormat="1" applyFont="1" applyBorder="1" applyAlignment="1">
      <alignment horizontal="right" vertical="top"/>
    </xf>
    <xf numFmtId="168" fontId="8" fillId="0" borderId="18" xfId="8" applyNumberFormat="1" applyFont="1" applyBorder="1" applyAlignment="1">
      <alignment horizontal="right" vertical="top"/>
    </xf>
    <xf numFmtId="170" fontId="8" fillId="0" borderId="18" xfId="8" applyNumberFormat="1" applyFont="1" applyBorder="1" applyAlignment="1">
      <alignment horizontal="right" vertical="top"/>
    </xf>
    <xf numFmtId="0" fontId="7" fillId="5" borderId="25" xfId="8" applyFont="1" applyFill="1" applyBorder="1" applyAlignment="1">
      <alignment horizontal="left" vertical="top" wrapText="1"/>
    </xf>
    <xf numFmtId="0" fontId="8" fillId="0" borderId="26" xfId="8" applyFont="1" applyBorder="1" applyAlignment="1">
      <alignment horizontal="left" vertical="top" wrapText="1"/>
    </xf>
    <xf numFmtId="0" fontId="8" fillId="0" borderId="27" xfId="8" applyFont="1" applyBorder="1" applyAlignment="1">
      <alignment horizontal="left" vertical="top" wrapText="1"/>
    </xf>
    <xf numFmtId="167" fontId="8" fillId="0" borderId="27" xfId="8" applyNumberFormat="1" applyFont="1" applyBorder="1" applyAlignment="1">
      <alignment horizontal="right" vertical="top"/>
    </xf>
    <xf numFmtId="170" fontId="8" fillId="0" borderId="27" xfId="8" applyNumberFormat="1" applyFont="1" applyBorder="1" applyAlignment="1">
      <alignment horizontal="right" vertical="top"/>
    </xf>
    <xf numFmtId="0" fontId="2" fillId="2" borderId="0" xfId="0" applyFont="1" applyFill="1" applyAlignment="1">
      <alignment horizontal="center" vertical="center"/>
    </xf>
    <xf numFmtId="0" fontId="0" fillId="3" borderId="2" xfId="0"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1" xfId="0" applyFill="1" applyBorder="1" applyAlignment="1">
      <alignment horizontal="center" wrapText="1"/>
    </xf>
    <xf numFmtId="0" fontId="0" fillId="3" borderId="1" xfId="0" applyFill="1" applyBorder="1" applyAlignment="1">
      <alignment horizontal="center"/>
    </xf>
    <xf numFmtId="0" fontId="0" fillId="3" borderId="1" xfId="0" applyFill="1" applyBorder="1" applyAlignment="1">
      <alignment horizontal="center" vertical="center"/>
    </xf>
    <xf numFmtId="0" fontId="16" fillId="5" borderId="16" xfId="6" applyFont="1" applyFill="1" applyBorder="1" applyAlignment="1">
      <alignment horizontal="left" vertical="top" wrapText="1"/>
    </xf>
    <xf numFmtId="0" fontId="16" fillId="5" borderId="25" xfId="6" applyFont="1" applyFill="1" applyBorder="1" applyAlignment="1">
      <alignment horizontal="left" vertical="top" wrapText="1"/>
    </xf>
    <xf numFmtId="0" fontId="5" fillId="0" borderId="0" xfId="6" applyFont="1" applyAlignment="1">
      <alignment horizontal="center" vertical="center" wrapText="1"/>
    </xf>
    <xf numFmtId="0" fontId="16" fillId="0" borderId="7" xfId="6" applyFont="1" applyBorder="1" applyAlignment="1">
      <alignment horizontal="left" wrapText="1"/>
    </xf>
    <xf numFmtId="0" fontId="16" fillId="5" borderId="12" xfId="6" applyFont="1" applyFill="1" applyBorder="1" applyAlignment="1">
      <alignment horizontal="left" vertical="top" wrapText="1"/>
    </xf>
    <xf numFmtId="0" fontId="0" fillId="0" borderId="0" xfId="0" applyAlignment="1">
      <alignment horizontal="center" vertical="center"/>
    </xf>
    <xf numFmtId="164" fontId="0" fillId="4" borderId="5" xfId="0" applyNumberFormat="1" applyFill="1" applyBorder="1" applyAlignment="1">
      <alignment horizontal="center"/>
    </xf>
    <xf numFmtId="164" fontId="0" fillId="4" borderId="6" xfId="0" applyNumberFormat="1" applyFill="1" applyBorder="1" applyAlignment="1">
      <alignment horizontal="center"/>
    </xf>
    <xf numFmtId="164" fontId="0" fillId="4" borderId="2" xfId="0" applyNumberFormat="1" applyFill="1" applyBorder="1" applyAlignment="1">
      <alignment horizontal="center"/>
    </xf>
    <xf numFmtId="164" fontId="0" fillId="4" borderId="4" xfId="0" applyNumberFormat="1" applyFill="1" applyBorder="1" applyAlignment="1">
      <alignment horizontal="center"/>
    </xf>
    <xf numFmtId="0" fontId="7" fillId="5" borderId="21" xfId="4" applyFont="1" applyFill="1" applyBorder="1" applyAlignment="1">
      <alignment horizontal="left" vertical="top" wrapText="1"/>
    </xf>
    <xf numFmtId="0" fontId="7" fillId="5" borderId="16" xfId="4" applyFont="1" applyFill="1" applyBorder="1" applyAlignment="1">
      <alignment horizontal="left" vertical="top" wrapText="1"/>
    </xf>
    <xf numFmtId="0" fontId="7" fillId="5" borderId="25" xfId="4" applyFont="1" applyFill="1" applyBorder="1" applyAlignment="1">
      <alignment horizontal="left" vertical="top" wrapText="1"/>
    </xf>
    <xf numFmtId="0" fontId="5" fillId="0" borderId="0" xfId="4" applyFont="1" applyAlignment="1">
      <alignment horizontal="center" vertical="center" wrapText="1"/>
    </xf>
    <xf numFmtId="0" fontId="7" fillId="0" borderId="0" xfId="4" applyFont="1" applyAlignment="1">
      <alignment horizontal="left" wrapText="1"/>
    </xf>
    <xf numFmtId="0" fontId="7" fillId="0" borderId="7" xfId="4" applyFont="1" applyBorder="1" applyAlignment="1">
      <alignment horizontal="left" wrapText="1"/>
    </xf>
    <xf numFmtId="0" fontId="7" fillId="0" borderId="29" xfId="4" applyFont="1" applyBorder="1" applyAlignment="1">
      <alignment horizontal="center" wrapText="1"/>
    </xf>
    <xf numFmtId="0" fontId="7" fillId="0" borderId="30" xfId="4" applyFont="1" applyBorder="1" applyAlignment="1">
      <alignment horizontal="center" wrapText="1"/>
    </xf>
    <xf numFmtId="0" fontId="7" fillId="0" borderId="9" xfId="4" applyFont="1" applyBorder="1" applyAlignment="1">
      <alignment horizontal="center" wrapText="1"/>
    </xf>
    <xf numFmtId="0" fontId="7" fillId="0" borderId="31" xfId="4" applyFont="1" applyBorder="1" applyAlignment="1">
      <alignment horizontal="center" wrapText="1"/>
    </xf>
    <xf numFmtId="0" fontId="7" fillId="0" borderId="10" xfId="4" applyFont="1" applyBorder="1" applyAlignment="1">
      <alignment horizontal="center" wrapText="1"/>
    </xf>
    <xf numFmtId="0" fontId="7" fillId="5" borderId="11" xfId="4" applyFont="1" applyFill="1" applyBorder="1" applyAlignment="1">
      <alignment horizontal="left" vertical="top"/>
    </xf>
    <xf numFmtId="0" fontId="7" fillId="5" borderId="11" xfId="4" applyFont="1" applyFill="1" applyBorder="1" applyAlignment="1">
      <alignment horizontal="left" vertical="top" wrapText="1"/>
    </xf>
    <xf numFmtId="0" fontId="7" fillId="5" borderId="7" xfId="5" applyFont="1" applyFill="1" applyBorder="1" applyAlignment="1">
      <alignment horizontal="center" vertical="top" wrapText="1"/>
    </xf>
    <xf numFmtId="0" fontId="7" fillId="5" borderId="11" xfId="5" applyFont="1" applyFill="1" applyBorder="1" applyAlignment="1">
      <alignment horizontal="left" vertical="top" wrapText="1"/>
    </xf>
    <xf numFmtId="0" fontId="7" fillId="5" borderId="0" xfId="5" applyFont="1" applyFill="1" applyAlignment="1">
      <alignment horizontal="left" vertical="top" wrapText="1"/>
    </xf>
    <xf numFmtId="0" fontId="7" fillId="5" borderId="20" xfId="5" applyFont="1" applyFill="1" applyBorder="1" applyAlignment="1">
      <alignment horizontal="left" vertical="top" wrapText="1"/>
    </xf>
    <xf numFmtId="0" fontId="7" fillId="5" borderId="33" xfId="5" applyFont="1" applyFill="1" applyBorder="1" applyAlignment="1">
      <alignment horizontal="left" vertical="top" wrapText="1"/>
    </xf>
    <xf numFmtId="0" fontId="7" fillId="5" borderId="21" xfId="5" applyFont="1" applyFill="1" applyBorder="1" applyAlignment="1">
      <alignment horizontal="left" vertical="top" wrapText="1"/>
    </xf>
    <xf numFmtId="0" fontId="7" fillId="5" borderId="7" xfId="5" applyFont="1" applyFill="1" applyBorder="1" applyAlignment="1">
      <alignment horizontal="left" vertical="top" wrapText="1"/>
    </xf>
    <xf numFmtId="0" fontId="12" fillId="4" borderId="1" xfId="5" applyFont="1" applyFill="1" applyBorder="1" applyAlignment="1">
      <alignment horizontal="center" vertical="center" wrapText="1"/>
    </xf>
    <xf numFmtId="0" fontId="12" fillId="4" borderId="2" xfId="5" applyFont="1" applyFill="1" applyBorder="1" applyAlignment="1">
      <alignment horizontal="center" vertical="center" wrapText="1"/>
    </xf>
    <xf numFmtId="0" fontId="12" fillId="4" borderId="4" xfId="5" applyFont="1" applyFill="1" applyBorder="1" applyAlignment="1">
      <alignment horizontal="center" vertical="center" wrapText="1"/>
    </xf>
    <xf numFmtId="0" fontId="7" fillId="5" borderId="16" xfId="5" applyFont="1" applyFill="1" applyBorder="1" applyAlignment="1">
      <alignment horizontal="left" vertical="top" wrapText="1"/>
    </xf>
    <xf numFmtId="0" fontId="7" fillId="4" borderId="16" xfId="5" applyFont="1" applyFill="1" applyBorder="1" applyAlignment="1">
      <alignment horizontal="left" vertical="top" wrapText="1"/>
    </xf>
    <xf numFmtId="0" fontId="7" fillId="5" borderId="25" xfId="5" applyFont="1" applyFill="1" applyBorder="1" applyAlignment="1">
      <alignment horizontal="left" vertical="top" wrapText="1"/>
    </xf>
    <xf numFmtId="0" fontId="11" fillId="4" borderId="1" xfId="0" applyFont="1" applyFill="1" applyBorder="1" applyAlignment="1">
      <alignment horizontal="center" vertical="center" wrapText="1"/>
    </xf>
    <xf numFmtId="166" fontId="6" fillId="4" borderId="2" xfId="3" applyNumberFormat="1" applyFont="1" applyFill="1" applyBorder="1" applyAlignment="1">
      <alignment horizontal="center" vertical="center" wrapText="1"/>
    </xf>
    <xf numFmtId="166" fontId="6" fillId="4" borderId="3" xfId="3" applyNumberFormat="1" applyFont="1" applyFill="1" applyBorder="1" applyAlignment="1">
      <alignment horizontal="center" vertical="center" wrapText="1"/>
    </xf>
    <xf numFmtId="166" fontId="6" fillId="4" borderId="4" xfId="3" applyNumberFormat="1" applyFont="1" applyFill="1" applyBorder="1" applyAlignment="1">
      <alignment horizontal="center" vertical="center" wrapText="1"/>
    </xf>
    <xf numFmtId="0" fontId="16" fillId="5" borderId="21" xfId="7" applyFont="1" applyFill="1" applyBorder="1" applyAlignment="1">
      <alignment horizontal="left" vertical="top" wrapText="1"/>
    </xf>
    <xf numFmtId="0" fontId="16" fillId="5" borderId="16" xfId="7" applyFont="1" applyFill="1" applyBorder="1" applyAlignment="1">
      <alignment horizontal="left" vertical="top" wrapText="1"/>
    </xf>
    <xf numFmtId="0" fontId="5" fillId="0" borderId="0" xfId="7" applyFont="1" applyAlignment="1">
      <alignment horizontal="center" vertical="center" wrapText="1"/>
    </xf>
    <xf numFmtId="0" fontId="16" fillId="0" borderId="7" xfId="7" applyFont="1" applyBorder="1" applyAlignment="1">
      <alignment horizontal="left" wrapText="1"/>
    </xf>
    <xf numFmtId="0" fontId="16" fillId="5" borderId="11" xfId="7" applyFont="1" applyFill="1" applyBorder="1" applyAlignment="1">
      <alignment horizontal="left" vertical="top" wrapText="1"/>
    </xf>
    <xf numFmtId="0" fontId="16" fillId="6" borderId="30" xfId="7" applyFont="1" applyFill="1" applyBorder="1" applyAlignment="1">
      <alignment horizontal="center" wrapText="1"/>
    </xf>
    <xf numFmtId="0" fontId="16" fillId="6" borderId="9" xfId="7" applyFont="1" applyFill="1" applyBorder="1" applyAlignment="1">
      <alignment horizontal="center" wrapText="1"/>
    </xf>
    <xf numFmtId="0" fontId="16" fillId="0" borderId="30" xfId="7" applyFont="1" applyBorder="1" applyAlignment="1">
      <alignment horizontal="center" wrapText="1"/>
    </xf>
    <xf numFmtId="0" fontId="16" fillId="0" borderId="9" xfId="7" applyFont="1" applyBorder="1" applyAlignment="1">
      <alignment horizontal="center" wrapText="1"/>
    </xf>
    <xf numFmtId="0" fontId="16" fillId="5" borderId="25" xfId="7" applyFont="1" applyFill="1" applyBorder="1" applyAlignment="1">
      <alignment horizontal="left" vertical="top" wrapText="1"/>
    </xf>
    <xf numFmtId="0" fontId="16" fillId="0" borderId="0" xfId="7" applyFont="1" applyAlignment="1">
      <alignment horizontal="left" wrapText="1"/>
    </xf>
    <xf numFmtId="0" fontId="16" fillId="0" borderId="29" xfId="7" applyFont="1" applyBorder="1" applyAlignment="1">
      <alignment horizontal="center" wrapText="1"/>
    </xf>
    <xf numFmtId="0" fontId="16" fillId="0" borderId="8" xfId="7" applyFont="1" applyBorder="1" applyAlignment="1">
      <alignment horizontal="center" wrapText="1"/>
    </xf>
    <xf numFmtId="0" fontId="5" fillId="0" borderId="0" xfId="8" applyFont="1" applyAlignment="1">
      <alignment horizontal="center" vertical="center" wrapText="1"/>
    </xf>
    <xf numFmtId="0" fontId="7" fillId="0" borderId="0" xfId="8" applyFont="1" applyAlignment="1">
      <alignment horizontal="left" wrapText="1"/>
    </xf>
    <xf numFmtId="0" fontId="7" fillId="0" borderId="7" xfId="8" applyFont="1" applyBorder="1" applyAlignment="1">
      <alignment horizontal="left" wrapText="1"/>
    </xf>
    <xf numFmtId="0" fontId="7" fillId="0" borderId="29" xfId="8" applyFont="1" applyBorder="1" applyAlignment="1">
      <alignment horizontal="center" wrapText="1"/>
    </xf>
    <xf numFmtId="0" fontId="7" fillId="0" borderId="30" xfId="8" applyFont="1" applyBorder="1" applyAlignment="1">
      <alignment horizontal="center" wrapText="1"/>
    </xf>
    <xf numFmtId="0" fontId="7" fillId="0" borderId="8" xfId="8" applyFont="1" applyBorder="1" applyAlignment="1">
      <alignment horizontal="center" wrapText="1"/>
    </xf>
    <xf numFmtId="0" fontId="7" fillId="0" borderId="9" xfId="8" applyFont="1" applyBorder="1" applyAlignment="1">
      <alignment horizontal="center" wrapText="1"/>
    </xf>
    <xf numFmtId="0" fontId="7" fillId="5" borderId="11" xfId="8" applyFont="1" applyFill="1" applyBorder="1" applyAlignment="1">
      <alignment horizontal="left" vertical="top" wrapText="1"/>
    </xf>
    <xf numFmtId="0" fontId="7" fillId="5" borderId="21" xfId="8" applyFont="1" applyFill="1" applyBorder="1" applyAlignment="1">
      <alignment horizontal="left" vertical="top" wrapText="1"/>
    </xf>
    <xf numFmtId="0" fontId="7" fillId="5" borderId="25" xfId="8" applyFont="1" applyFill="1" applyBorder="1" applyAlignment="1">
      <alignment horizontal="left" vertical="top" wrapText="1"/>
    </xf>
    <xf numFmtId="0" fontId="14" fillId="2" borderId="0" xfId="0" applyFont="1" applyFill="1" applyAlignment="1">
      <alignment horizontal="center" vertical="center" wrapText="1"/>
    </xf>
    <xf numFmtId="0" fontId="14" fillId="2" borderId="0" xfId="0" applyFont="1" applyFill="1" applyAlignment="1">
      <alignment horizontal="center" vertical="center"/>
    </xf>
    <xf numFmtId="0" fontId="6" fillId="4" borderId="2" xfId="3" applyFont="1" applyFill="1" applyBorder="1" applyAlignment="1">
      <alignment horizontal="center" vertical="center" wrapText="1"/>
    </xf>
    <xf numFmtId="0" fontId="6" fillId="4" borderId="3" xfId="3" applyFont="1" applyFill="1" applyBorder="1" applyAlignment="1">
      <alignment horizontal="center" vertical="center" wrapText="1"/>
    </xf>
    <xf numFmtId="0" fontId="6" fillId="4" borderId="4" xfId="3" applyFont="1" applyFill="1" applyBorder="1" applyAlignment="1">
      <alignment horizontal="center" vertical="center" wrapText="1"/>
    </xf>
  </cellXfs>
  <cellStyles count="9">
    <cellStyle name="Normal" xfId="0" builtinId="0"/>
    <cellStyle name="Normal 14" xfId="2" xr:uid="{A51D37C3-8590-4E51-BCEA-93B97619BDA4}"/>
    <cellStyle name="Normal 14 2 4 2" xfId="3" xr:uid="{25E6E5B9-76EF-41D3-95F8-06BE9311C7A2}"/>
    <cellStyle name="Normal 2" xfId="1" xr:uid="{11CA794F-A23C-436E-914C-2C955A931934}"/>
    <cellStyle name="Normal_LEVELLER1" xfId="6" xr:uid="{32444A0D-D8E0-4918-A59B-EA1D5146EF58}"/>
    <cellStyle name="Normal_Sayfa1" xfId="7" xr:uid="{24CCF858-6CA6-4689-B4FE-A0186A8645A9}"/>
    <cellStyle name="Normal_Sayfa1_1" xfId="8" xr:uid="{51B112F7-0E2F-47B5-86E5-EF6C8E262D9F}"/>
    <cellStyle name="Normal_Sayfa10" xfId="5" xr:uid="{D9F24CC6-95B9-460F-BB66-67720EE2EDFF}"/>
    <cellStyle name="Normal_Sayfa9" xfId="4" xr:uid="{00EBED18-2965-42A8-A86D-0BE99B048B4D}"/>
  </cellStyles>
  <dxfs count="0"/>
  <tableStyles count="0" defaultTableStyle="TableStyleMedium2" defaultPivotStyle="PivotStyleLight16"/>
  <colors>
    <mruColors>
      <color rgb="FF8DD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microsoft.com/office/2006/relationships/vbaProject" Target="vbaProject.bin"/><Relationship Id="rId3" Type="http://schemas.openxmlformats.org/officeDocument/2006/relationships/worksheet" Target="worksheets/sheet2.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calcChain" Target="calcChain.xml"/><Relationship Id="rId2" Type="http://schemas.openxmlformats.org/officeDocument/2006/relationships/worksheet" Target="worksheets/sheet1.xml"/><Relationship Id="rId16" Type="http://schemas.openxmlformats.org/officeDocument/2006/relationships/sharedStrings" Target="sharedStrings.xml"/><Relationship Id="rId1" Type="http://schemas.openxmlformats.org/officeDocument/2006/relationships/chartsheet" Target="chartsheets/sheet1.xml"/><Relationship Id="rId6" Type="http://schemas.openxmlformats.org/officeDocument/2006/relationships/worksheet" Target="worksheets/sheet5.xml"/><Relationship Id="rId11" Type="http://schemas.openxmlformats.org/officeDocument/2006/relationships/worksheet" Target="worksheets/sheet10.xml"/><Relationship Id="rId5" Type="http://schemas.openxmlformats.org/officeDocument/2006/relationships/worksheet" Target="worksheets/sheet4.xml"/><Relationship Id="rId15" Type="http://schemas.openxmlformats.org/officeDocument/2006/relationships/styles" Target="styles.xml"/><Relationship Id="rId10" Type="http://schemas.openxmlformats.org/officeDocument/2006/relationships/worksheet" Target="worksheets/sheet9.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0.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11.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12.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Ex1.xml.rels><?xml version="1.0" encoding="UTF-8" standalone="yes"?>
<Relationships xmlns="http://schemas.openxmlformats.org/package/2006/relationships"><Relationship Id="rId3" Type="http://schemas.microsoft.com/office/2011/relationships/chartColorStyle" Target="colors8.xml"/><Relationship Id="rId2" Type="http://schemas.microsoft.com/office/2011/relationships/chartStyle" Target="style8.xml"/><Relationship Id="rId1" Type="http://schemas.openxmlformats.org/officeDocument/2006/relationships/oleObject" Target="NULL" TargetMode="External"/></Relationships>
</file>

<file path=xl/charts/_rels/chartEx2.xml.rels><?xml version="1.0" encoding="UTF-8" standalone="yes"?>
<Relationships xmlns="http://schemas.openxmlformats.org/package/2006/relationships"><Relationship Id="rId3" Type="http://schemas.microsoft.com/office/2011/relationships/chartColorStyle" Target="colors9.xml"/><Relationship Id="rId2" Type="http://schemas.microsoft.com/office/2011/relationships/chartStyle" Target="style9.xml"/><Relationship Id="rId1" Type="http://schemas.openxmlformats.org/officeDocument/2006/relationships/oleObject" Target="NULL" TargetMode="External"/></Relationships>
</file>

<file path=xl/charts/_rels/chartEx3.xml.rels><?xml version="1.0" encoding="UTF-8" standalone="yes"?>
<Relationships xmlns="http://schemas.openxmlformats.org/package/2006/relationships"><Relationship Id="rId3" Type="http://schemas.microsoft.com/office/2011/relationships/chartColorStyle" Target="colors10.xml"/><Relationship Id="rId2" Type="http://schemas.microsoft.com/office/2011/relationships/chartStyle" Target="style10.xml"/><Relationship Id="rId1" Type="http://schemas.openxmlformats.org/officeDocument/2006/relationships/oleObject" Target="NULL" TargetMode="External"/></Relationships>
</file>

<file path=xl/charts/_rels/chartEx4.xml.rels><?xml version="1.0" encoding="UTF-8" standalone="yes"?>
<Relationships xmlns="http://schemas.openxmlformats.org/package/2006/relationships"><Relationship Id="rId3" Type="http://schemas.microsoft.com/office/2011/relationships/chartColorStyle" Target="colors11.xml"/><Relationship Id="rId2" Type="http://schemas.microsoft.com/office/2011/relationships/chartStyle" Target="style11.xml"/><Relationship Id="rId1" Type="http://schemas.openxmlformats.org/officeDocument/2006/relationships/oleObject" Target="NULL" TargetMode="External"/></Relationships>
</file>

<file path=xl/charts/_rels/chartEx5.xml.rels><?xml version="1.0" encoding="UTF-8" standalone="yes"?>
<Relationships xmlns="http://schemas.openxmlformats.org/package/2006/relationships"><Relationship Id="rId3" Type="http://schemas.microsoft.com/office/2011/relationships/chartColorStyle" Target="colors12.xml"/><Relationship Id="rId2" Type="http://schemas.microsoft.com/office/2011/relationships/chartStyle" Target="style12.xml"/><Relationship Id="rId1" Type="http://schemas.openxmlformats.org/officeDocument/2006/relationships/oleObject" Target="NULL" TargetMode="External"/></Relationships>
</file>

<file path=xl/charts/_rels/chartEx6.xml.rels><?xml version="1.0" encoding="UTF-8" standalone="yes"?>
<Relationships xmlns="http://schemas.openxmlformats.org/package/2006/relationships"><Relationship Id="rId3" Type="http://schemas.microsoft.com/office/2011/relationships/chartColorStyle" Target="colors13.xml"/><Relationship Id="rId2" Type="http://schemas.microsoft.com/office/2011/relationships/chartStyle" Target="style13.xml"/><Relationship Id="rId1" Type="http://schemas.openxmlformats.org/officeDocument/2006/relationships/oleObject" Target="NULL" TargetMode="External"/></Relationships>
</file>

<file path=xl/charts/_rels/chartEx7.xml.rels><?xml version="1.0" encoding="UTF-8" standalone="yes"?>
<Relationships xmlns="http://schemas.openxmlformats.org/package/2006/relationships"><Relationship Id="rId3" Type="http://schemas.microsoft.com/office/2011/relationships/chartColorStyle" Target="colors14.xml"/><Relationship Id="rId2" Type="http://schemas.microsoft.com/office/2011/relationships/chartStyle" Target="style14.xml"/><Relationship Id="rId1" Type="http://schemas.openxmlformats.org/officeDocument/2006/relationships/oleObject" Target="NULL" TargetMode="External"/></Relationships>
</file>

<file path=xl/charts/_rels/chartEx8.xml.rels><?xml version="1.0" encoding="UTF-8" standalone="yes"?>
<Relationships xmlns="http://schemas.openxmlformats.org/package/2006/relationships"><Relationship Id="rId3" Type="http://schemas.microsoft.com/office/2011/relationships/chartColorStyle" Target="colors15.xml"/><Relationship Id="rId2" Type="http://schemas.microsoft.com/office/2011/relationships/chartStyle" Target="style15.xml"/><Relationship Id="rId1" Type="http://schemas.openxmlformats.org/officeDocument/2006/relationships/oleObject" Target="NULL" TargetMode="External"/></Relationships>
</file>

<file path=xl/charts/_rels/chartEx9.xml.rels><?xml version="1.0" encoding="UTF-8" standalone="yes"?>
<Relationships xmlns="http://schemas.openxmlformats.org/package/2006/relationships"><Relationship Id="rId3" Type="http://schemas.microsoft.com/office/2011/relationships/chartColorStyle" Target="colors16.xml"/><Relationship Id="rId2" Type="http://schemas.microsoft.com/office/2011/relationships/chartStyle" Target="style16.xml"/><Relationship Id="rId1" Type="http://schemas.openxmlformats.org/officeDocument/2006/relationships/oleObject" Target="NULL" TargetMode="External"/></Relationships>
</file>

<file path=xl/charts/_rels/chartEx10.xml.rels><?xml version="1.0" encoding="UTF-8" standalone="yes"?>
<Relationships xmlns="http://schemas.openxmlformats.org/package/2006/relationships"><Relationship Id="rId3" Type="http://schemas.microsoft.com/office/2011/relationships/chartColorStyle" Target="colors19.xml"/><Relationship Id="rId2" Type="http://schemas.microsoft.com/office/2011/relationships/chartStyle" Target="style19.xml"/><Relationship Id="rId1" Type="http://schemas.openxmlformats.org/officeDocument/2006/relationships/oleObject" Target="NULL" TargetMode="External"/></Relationships>
</file>

<file path=xl/charts/_rels/chartEx11.xml.rels><?xml version="1.0" encoding="UTF-8" standalone="yes"?>
<Relationships xmlns="http://schemas.openxmlformats.org/package/2006/relationships"><Relationship Id="rId3" Type="http://schemas.microsoft.com/office/2011/relationships/chartColorStyle" Target="colors20.xml"/><Relationship Id="rId2" Type="http://schemas.microsoft.com/office/2011/relationships/chartStyle" Target="style20.xml"/><Relationship Id="rId1" Type="http://schemas.openxmlformats.org/officeDocument/2006/relationships/oleObject" Target="NULL" TargetMode="External"/></Relationships>
</file>

<file path=xl/charts/_rels/chartEx12.xml.rels><?xml version="1.0" encoding="UTF-8" standalone="yes"?>
<Relationships xmlns="http://schemas.openxmlformats.org/package/2006/relationships"><Relationship Id="rId3" Type="http://schemas.microsoft.com/office/2011/relationships/chartColorStyle" Target="colors21.xml"/><Relationship Id="rId2" Type="http://schemas.microsoft.com/office/2011/relationships/chartStyle" Target="style21.xml"/><Relationship Id="rId1" Type="http://schemas.openxmlformats.org/officeDocument/2006/relationships/oleObject" Target="NULL" TargetMode="External"/></Relationships>
</file>

<file path=xl/charts/_rels/chartEx13.xml.rels><?xml version="1.0" encoding="UTF-8" standalone="yes"?>
<Relationships xmlns="http://schemas.openxmlformats.org/package/2006/relationships"><Relationship Id="rId3" Type="http://schemas.microsoft.com/office/2011/relationships/chartColorStyle" Target="colors22.xml"/><Relationship Id="rId2" Type="http://schemas.microsoft.com/office/2011/relationships/chartStyle" Target="style22.xml"/><Relationship Id="rId1" Type="http://schemas.openxmlformats.org/officeDocument/2006/relationships/oleObject" Target="NULL" TargetMode="External"/></Relationships>
</file>

<file path=xl/charts/_rels/chartEx14.xml.rels><?xml version="1.0" encoding="UTF-8" standalone="yes"?>
<Relationships xmlns="http://schemas.openxmlformats.org/package/2006/relationships"><Relationship Id="rId3" Type="http://schemas.microsoft.com/office/2011/relationships/chartColorStyle" Target="colors23.xml"/><Relationship Id="rId2" Type="http://schemas.microsoft.com/office/2011/relationships/chartStyle" Target="style23.xml"/><Relationship Id="rId1" Type="http://schemas.openxmlformats.org/officeDocument/2006/relationships/oleObject" Target="NULL" TargetMode="Externa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63589184"/>
        <c:axId val="588929664"/>
      </c:barChart>
      <c:catAx>
        <c:axId val="1635891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588929664"/>
        <c:crosses val="autoZero"/>
        <c:auto val="1"/>
        <c:lblAlgn val="ctr"/>
        <c:lblOffset val="100"/>
        <c:noMultiLvlLbl val="0"/>
      </c:catAx>
      <c:valAx>
        <c:axId val="5889296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1635891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tr-TR"/>
              <a:t>ÖRNEKLEM</a:t>
            </a:r>
            <a:r>
              <a:rPr lang="tr-TR" baseline="0"/>
              <a:t> POPÜLASYON ORANI</a:t>
            </a:r>
          </a:p>
        </c:rich>
      </c:tx>
      <c:layout>
        <c:manualLayout>
          <c:xMode val="edge"/>
          <c:yMode val="edge"/>
          <c:x val="0.36658459980224722"/>
          <c:y val="3.156708191326343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lotArea>
      <c:layout>
        <c:manualLayout>
          <c:layoutTarget val="inner"/>
          <c:xMode val="edge"/>
          <c:yMode val="edge"/>
          <c:x val="8.5940428925175075E-2"/>
          <c:y val="0.1425253748383844"/>
          <c:w val="0.89141061600396665"/>
          <c:h val="0.7043788348101232"/>
        </c:manualLayout>
      </c:layout>
      <c:barChart>
        <c:barDir val="col"/>
        <c:grouping val="clustered"/>
        <c:varyColors val="0"/>
        <c:ser>
          <c:idx val="0"/>
          <c:order val="0"/>
          <c:tx>
            <c:v>ÜLKELER</c:v>
          </c:tx>
          <c:spPr>
            <a:solidFill>
              <a:schemeClr val="accent1"/>
            </a:solidFill>
            <a:ln>
              <a:noFill/>
            </a:ln>
            <a:effectLst/>
          </c:spPr>
          <c:invertIfNegative val="0"/>
          <c:cat>
            <c:strRef>
              <c:f>KATILIM!$A$2:$A$80</c:f>
              <c:strCache>
                <c:ptCount val="79"/>
                <c:pt idx="0">
                  <c:v>Australia</c:v>
                </c:pt>
                <c:pt idx="1">
                  <c:v>Austria</c:v>
                </c:pt>
                <c:pt idx="2">
                  <c:v>Belgium</c:v>
                </c:pt>
                <c:pt idx="3">
                  <c:v>Canada</c:v>
                </c:pt>
                <c:pt idx="4">
                  <c:v>Chile</c:v>
                </c:pt>
                <c:pt idx="5">
                  <c:v>Colombia</c:v>
                </c:pt>
                <c:pt idx="6">
                  <c:v>Czech Republic</c:v>
                </c:pt>
                <c:pt idx="7">
                  <c:v>Denmark</c:v>
                </c:pt>
                <c:pt idx="8">
                  <c:v>Estonia</c:v>
                </c:pt>
                <c:pt idx="9">
                  <c:v>Finland</c:v>
                </c:pt>
                <c:pt idx="10">
                  <c:v>France</c:v>
                </c:pt>
                <c:pt idx="11">
                  <c:v>Germany</c:v>
                </c:pt>
                <c:pt idx="12">
                  <c:v>Greece</c:v>
                </c:pt>
                <c:pt idx="13">
                  <c:v>Hungary</c:v>
                </c:pt>
                <c:pt idx="14">
                  <c:v>Iceland</c:v>
                </c:pt>
                <c:pt idx="15">
                  <c:v>Ireland</c:v>
                </c:pt>
                <c:pt idx="16">
                  <c:v>Israel</c:v>
                </c:pt>
                <c:pt idx="17">
                  <c:v>Italy</c:v>
                </c:pt>
                <c:pt idx="18">
                  <c:v>Japan</c:v>
                </c:pt>
                <c:pt idx="19">
                  <c:v>Korea</c:v>
                </c:pt>
                <c:pt idx="20">
                  <c:v>Latvia</c:v>
                </c:pt>
                <c:pt idx="21">
                  <c:v>Lithuania</c:v>
                </c:pt>
                <c:pt idx="22">
                  <c:v>Luxembourg</c:v>
                </c:pt>
                <c:pt idx="23">
                  <c:v>Mexico</c:v>
                </c:pt>
                <c:pt idx="24">
                  <c:v>Netherlands</c:v>
                </c:pt>
                <c:pt idx="25">
                  <c:v>New Zealand</c:v>
                </c:pt>
                <c:pt idx="26">
                  <c:v>Norway</c:v>
                </c:pt>
                <c:pt idx="27">
                  <c:v>Poland</c:v>
                </c:pt>
                <c:pt idx="28">
                  <c:v>Portugal</c:v>
                </c:pt>
                <c:pt idx="29">
                  <c:v>Slovak Republic</c:v>
                </c:pt>
                <c:pt idx="30">
                  <c:v>Slovenia</c:v>
                </c:pt>
                <c:pt idx="31">
                  <c:v>Spain</c:v>
                </c:pt>
                <c:pt idx="32">
                  <c:v>Sweden</c:v>
                </c:pt>
                <c:pt idx="33">
                  <c:v>Switzerland</c:v>
                </c:pt>
                <c:pt idx="34">
                  <c:v>Turkey</c:v>
                </c:pt>
                <c:pt idx="35">
                  <c:v>United Kingdom</c:v>
                </c:pt>
                <c:pt idx="36">
                  <c:v>United States</c:v>
                </c:pt>
                <c:pt idx="37">
                  <c:v>Albania</c:v>
                </c:pt>
                <c:pt idx="38">
                  <c:v>Argentina</c:v>
                </c:pt>
                <c:pt idx="39">
                  <c:v>Baku (Azerbaijan)</c:v>
                </c:pt>
                <c:pt idx="40">
                  <c:v>Belarus</c:v>
                </c:pt>
                <c:pt idx="41">
                  <c:v>Bosnia and Herzegovina</c:v>
                </c:pt>
                <c:pt idx="42">
                  <c:v>Brazil</c:v>
                </c:pt>
                <c:pt idx="43">
                  <c:v>Brunei Darussalam</c:v>
                </c:pt>
                <c:pt idx="44">
                  <c:v>B-S-J-Z (China)</c:v>
                </c:pt>
                <c:pt idx="45">
                  <c:v>Bulgaria</c:v>
                </c:pt>
                <c:pt idx="46">
                  <c:v>Costa Rica</c:v>
                </c:pt>
                <c:pt idx="47">
                  <c:v>Croatia</c:v>
                </c:pt>
                <c:pt idx="48">
                  <c:v>Cyprus</c:v>
                </c:pt>
                <c:pt idx="49">
                  <c:v>Dominican Republic</c:v>
                </c:pt>
                <c:pt idx="50">
                  <c:v>Georgia</c:v>
                </c:pt>
                <c:pt idx="51">
                  <c:v>Hong Kong (China)</c:v>
                </c:pt>
                <c:pt idx="52">
                  <c:v>Indonesia</c:v>
                </c:pt>
                <c:pt idx="53">
                  <c:v>Jordan</c:v>
                </c:pt>
                <c:pt idx="54">
                  <c:v>Kazakhstan</c:v>
                </c:pt>
                <c:pt idx="55">
                  <c:v>Kosovo</c:v>
                </c:pt>
                <c:pt idx="56">
                  <c:v>Lebanon</c:v>
                </c:pt>
                <c:pt idx="57">
                  <c:v>Macao (China)</c:v>
                </c:pt>
                <c:pt idx="58">
                  <c:v>Malaysia</c:v>
                </c:pt>
                <c:pt idx="59">
                  <c:v>Malta</c:v>
                </c:pt>
                <c:pt idx="60">
                  <c:v>Moldova</c:v>
                </c:pt>
                <c:pt idx="61">
                  <c:v>Montenegro</c:v>
                </c:pt>
                <c:pt idx="62">
                  <c:v>Morocco</c:v>
                </c:pt>
                <c:pt idx="63">
                  <c:v>North Macedonia</c:v>
                </c:pt>
                <c:pt idx="64">
                  <c:v>Panama</c:v>
                </c:pt>
                <c:pt idx="65">
                  <c:v>Peru</c:v>
                </c:pt>
                <c:pt idx="66">
                  <c:v>Philippines</c:v>
                </c:pt>
                <c:pt idx="67">
                  <c:v>Qatar</c:v>
                </c:pt>
                <c:pt idx="68">
                  <c:v>Romania</c:v>
                </c:pt>
                <c:pt idx="69">
                  <c:v>Russia</c:v>
                </c:pt>
                <c:pt idx="70">
                  <c:v>Saudi Arabia</c:v>
                </c:pt>
                <c:pt idx="71">
                  <c:v>Serbia</c:v>
                </c:pt>
                <c:pt idx="72">
                  <c:v>Singapore</c:v>
                </c:pt>
                <c:pt idx="73">
                  <c:v>Chinese Taipei</c:v>
                </c:pt>
                <c:pt idx="74">
                  <c:v>Thailand</c:v>
                </c:pt>
                <c:pt idx="75">
                  <c:v>Ukraine</c:v>
                </c:pt>
                <c:pt idx="76">
                  <c:v>United Arab Emirates</c:v>
                </c:pt>
                <c:pt idx="77">
                  <c:v>Uruguay</c:v>
                </c:pt>
                <c:pt idx="78">
                  <c:v>Viet Nam</c:v>
                </c:pt>
              </c:strCache>
            </c:strRef>
          </c:cat>
          <c:val>
            <c:numRef>
              <c:f>KATILIM!$A$2:$A$80</c:f>
              <c:numCache>
                <c:formatCode>General</c:formatCode>
                <c:ptCount val="7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numCache>
            </c:numRef>
          </c:val>
          <c:extLst>
            <c:ext xmlns:c16="http://schemas.microsoft.com/office/drawing/2014/chart" uri="{C3380CC4-5D6E-409C-BE32-E72D297353CC}">
              <c16:uniqueId val="{00000002-4AAF-4C9B-80CA-78D40B5F2BAB}"/>
            </c:ext>
          </c:extLst>
        </c:ser>
        <c:ser>
          <c:idx val="1"/>
          <c:order val="1"/>
          <c:tx>
            <c:v>ORANLAR</c:v>
          </c:tx>
          <c:spPr>
            <a:solidFill>
              <a:schemeClr val="accent2"/>
            </a:solidFill>
            <a:ln>
              <a:noFill/>
            </a:ln>
            <a:effectLst/>
          </c:spPr>
          <c:invertIfNegative val="0"/>
          <c:val>
            <c:numRef>
              <c:f>KATILIM!$D$2:$D$80</c:f>
              <c:numCache>
                <c:formatCode>0.0</c:formatCode>
                <c:ptCount val="79"/>
                <c:pt idx="0">
                  <c:v>20.191620542282632</c:v>
                </c:pt>
                <c:pt idx="1">
                  <c:v>12.41884739782417</c:v>
                </c:pt>
                <c:pt idx="2">
                  <c:v>14.870914454277287</c:v>
                </c:pt>
                <c:pt idx="3">
                  <c:v>17.137023793758001</c:v>
                </c:pt>
                <c:pt idx="4">
                  <c:v>31.425272273979793</c:v>
                </c:pt>
                <c:pt idx="5">
                  <c:v>113.81028981653816</c:v>
                </c:pt>
                <c:pt idx="6">
                  <c:v>13.10913235503633</c:v>
                </c:pt>
                <c:pt idx="7">
                  <c:v>8.9216403291106179</c:v>
                </c:pt>
                <c:pt idx="8">
                  <c:v>2.3056809631301731</c:v>
                </c:pt>
                <c:pt idx="9">
                  <c:v>10.324836254204284</c:v>
                </c:pt>
                <c:pt idx="10">
                  <c:v>131.29296131896004</c:v>
                </c:pt>
                <c:pt idx="11">
                  <c:v>135.71674922032653</c:v>
                </c:pt>
                <c:pt idx="12">
                  <c:v>16.065594252694051</c:v>
                </c:pt>
                <c:pt idx="13">
                  <c:v>18.869446609508962</c:v>
                </c:pt>
                <c:pt idx="14">
                  <c:v>1.2847601700060716</c:v>
                </c:pt>
                <c:pt idx="15">
                  <c:v>11.116908732293348</c:v>
                </c:pt>
                <c:pt idx="16">
                  <c:v>20.662539634606674</c:v>
                </c:pt>
                <c:pt idx="17">
                  <c:v>52.285532456512513</c:v>
                </c:pt>
                <c:pt idx="18">
                  <c:v>194.27876902930103</c:v>
                </c:pt>
                <c:pt idx="19">
                  <c:v>77.750375939849619</c:v>
                </c:pt>
                <c:pt idx="20">
                  <c:v>3.389967942673958</c:v>
                </c:pt>
                <c:pt idx="21">
                  <c:v>3.9324618736383443</c:v>
                </c:pt>
                <c:pt idx="22">
                  <c:v>1.2028680688336519</c:v>
                </c:pt>
                <c:pt idx="23">
                  <c:v>305.76120016440609</c:v>
                </c:pt>
                <c:pt idx="24">
                  <c:v>43.799370409234001</c:v>
                </c:pt>
                <c:pt idx="25">
                  <c:v>9.6711485501376959</c:v>
                </c:pt>
                <c:pt idx="26">
                  <c:v>10.48821606743506</c:v>
                </c:pt>
                <c:pt idx="27">
                  <c:v>62.936888888888888</c:v>
                </c:pt>
                <c:pt idx="28">
                  <c:v>19.045347269049223</c:v>
                </c:pt>
                <c:pt idx="29">
                  <c:v>8.638055322715843</c:v>
                </c:pt>
                <c:pt idx="30">
                  <c:v>2.7341040462427744</c:v>
                </c:pt>
                <c:pt idx="31">
                  <c:v>12.635784436468853</c:v>
                </c:pt>
                <c:pt idx="32">
                  <c:v>19.735101744186046</c:v>
                </c:pt>
                <c:pt idx="33">
                  <c:v>13.842322226039162</c:v>
                </c:pt>
                <c:pt idx="34">
                  <c:v>176.87851959361393</c:v>
                </c:pt>
                <c:pt idx="35">
                  <c:v>50.947387465624544</c:v>
                </c:pt>
                <c:pt idx="36">
                  <c:v>854.42724266225719</c:v>
                </c:pt>
                <c:pt idx="37">
                  <c:v>5.8114483409341089</c:v>
                </c:pt>
                <c:pt idx="38">
                  <c:v>58.687933194154489</c:v>
                </c:pt>
                <c:pt idx="39">
                  <c:v>6.4154094038377032</c:v>
                </c:pt>
                <c:pt idx="40">
                  <c:v>15.41271755988282</c:v>
                </c:pt>
                <c:pt idx="41">
                  <c:v>5.4098765432098768</c:v>
                </c:pt>
                <c:pt idx="42">
                  <c:v>293</c:v>
                </c:pt>
                <c:pt idx="43">
                  <c:v>1.03705330990041</c:v>
                </c:pt>
                <c:pt idx="44">
                  <c:v>101.32244153259246</c:v>
                </c:pt>
                <c:pt idx="45">
                  <c:v>12.561201360030223</c:v>
                </c:pt>
                <c:pt idx="46">
                  <c:v>10.032405484004986</c:v>
                </c:pt>
                <c:pt idx="47">
                  <c:v>6.0239067937660762</c:v>
                </c:pt>
                <c:pt idx="48">
                  <c:v>1.5055424314010539</c:v>
                </c:pt>
                <c:pt idx="49">
                  <c:v>33.873457878040185</c:v>
                </c:pt>
                <c:pt idx="50">
                  <c:v>8.3641421392677682</c:v>
                </c:pt>
                <c:pt idx="51">
                  <c:v>8.6027828391585217</c:v>
                </c:pt>
                <c:pt idx="52">
                  <c:v>366.92726070424862</c:v>
                </c:pt>
                <c:pt idx="53">
                  <c:v>23.739484547584514</c:v>
                </c:pt>
                <c:pt idx="54">
                  <c:v>11.823755574921822</c:v>
                </c:pt>
                <c:pt idx="55">
                  <c:v>6.028865164096481</c:v>
                </c:pt>
                <c:pt idx="56">
                  <c:v>11.040078375489847</c:v>
                </c:pt>
                <c:pt idx="57">
                  <c:v>1.1390728476821192</c:v>
                </c:pt>
                <c:pt idx="58">
                  <c:v>88.005236458844706</c:v>
                </c:pt>
                <c:pt idx="59">
                  <c:v>1.2010110020814748</c:v>
                </c:pt>
                <c:pt idx="60">
                  <c:v>5.5367989565865479</c:v>
                </c:pt>
                <c:pt idx="61">
                  <c:v>1.1227122712271227</c:v>
                </c:pt>
                <c:pt idx="62">
                  <c:v>88.237452304079838</c:v>
                </c:pt>
                <c:pt idx="63">
                  <c:v>3.3779852756329682</c:v>
                </c:pt>
                <c:pt idx="64">
                  <c:v>11.49665071770335</c:v>
                </c:pt>
                <c:pt idx="65">
                  <c:v>95.41406506736773</c:v>
                </c:pt>
                <c:pt idx="66">
                  <c:v>285.29849301811146</c:v>
                </c:pt>
                <c:pt idx="67">
                  <c:v>1.1926525889499566</c:v>
                </c:pt>
                <c:pt idx="68">
                  <c:v>40.18522167487685</c:v>
                </c:pt>
                <c:pt idx="69">
                  <c:v>176.62171398527866</c:v>
                </c:pt>
                <c:pt idx="70">
                  <c:v>68.250977835723603</c:v>
                </c:pt>
                <c:pt idx="71">
                  <c:v>10.587380844303222</c:v>
                </c:pt>
                <c:pt idx="72">
                  <c:v>6.924655482324745</c:v>
                </c:pt>
                <c:pt idx="73">
                  <c:v>33.999723871324036</c:v>
                </c:pt>
                <c:pt idx="74">
                  <c:v>92.103556121857991</c:v>
                </c:pt>
                <c:pt idx="75">
                  <c:v>58.590196732244081</c:v>
                </c:pt>
                <c:pt idx="76">
                  <c:v>3.0749079213570578</c:v>
                </c:pt>
                <c:pt idx="77">
                  <c:v>9.6836405092152766</c:v>
                </c:pt>
                <c:pt idx="78">
                  <c:v>247.72177794309096</c:v>
                </c:pt>
              </c:numCache>
            </c:numRef>
          </c:val>
          <c:extLst>
            <c:ext xmlns:c16="http://schemas.microsoft.com/office/drawing/2014/chart" uri="{C3380CC4-5D6E-409C-BE32-E72D297353CC}">
              <c16:uniqueId val="{00000003-4AAF-4C9B-80CA-78D40B5F2BAB}"/>
            </c:ext>
          </c:extLst>
        </c:ser>
        <c:dLbls>
          <c:showLegendKey val="0"/>
          <c:showVal val="0"/>
          <c:showCatName val="0"/>
          <c:showSerName val="0"/>
          <c:showPercent val="0"/>
          <c:showBubbleSize val="0"/>
        </c:dLbls>
        <c:gapWidth val="219"/>
        <c:overlap val="-27"/>
        <c:axId val="180607472"/>
        <c:axId val="1956561184"/>
      </c:barChart>
      <c:catAx>
        <c:axId val="180607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1956561184"/>
        <c:crosses val="autoZero"/>
        <c:auto val="1"/>
        <c:lblAlgn val="ctr"/>
        <c:lblOffset val="100"/>
        <c:noMultiLvlLbl val="0"/>
      </c:catAx>
      <c:valAx>
        <c:axId val="19565611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180607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lotArea>
      <c:layout/>
      <c:barChart>
        <c:barDir val="col"/>
        <c:grouping val="clustered"/>
        <c:varyColors val="0"/>
        <c:ser>
          <c:idx val="0"/>
          <c:order val="0"/>
          <c:tx>
            <c:strRef>
              <c:f>KATILIM2!$P$9</c:f>
              <c:strCache>
                <c:ptCount val="1"/>
                <c:pt idx="0">
                  <c:v>Belgium</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r-T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KATILIM2!$Q$8:$T$8</c:f>
              <c:strCache>
                <c:ptCount val="4"/>
                <c:pt idx="0">
                  <c:v>PİSA 2004</c:v>
                </c:pt>
                <c:pt idx="1">
                  <c:v>PİSA 2010</c:v>
                </c:pt>
                <c:pt idx="2">
                  <c:v>PİSA 2015</c:v>
                </c:pt>
                <c:pt idx="3">
                  <c:v>PISA 2018</c:v>
                </c:pt>
              </c:strCache>
            </c:strRef>
          </c:cat>
          <c:val>
            <c:numRef>
              <c:f>KATILIM2!$Q$9:$T$9</c:f>
              <c:numCache>
                <c:formatCode>General</c:formatCode>
                <c:ptCount val="4"/>
                <c:pt idx="0">
                  <c:v>126377</c:v>
                </c:pt>
                <c:pt idx="1">
                  <c:v>123469</c:v>
                </c:pt>
                <c:pt idx="2">
                  <c:v>123630</c:v>
                </c:pt>
                <c:pt idx="3">
                  <c:v>126031</c:v>
                </c:pt>
              </c:numCache>
            </c:numRef>
          </c:val>
          <c:extLst>
            <c:ext xmlns:c16="http://schemas.microsoft.com/office/drawing/2014/chart" uri="{C3380CC4-5D6E-409C-BE32-E72D297353CC}">
              <c16:uniqueId val="{00000000-49FA-481B-8899-922D5435CAA0}"/>
            </c:ext>
          </c:extLst>
        </c:ser>
        <c:dLbls>
          <c:dLblPos val="outEnd"/>
          <c:showLegendKey val="0"/>
          <c:showVal val="1"/>
          <c:showCatName val="0"/>
          <c:showSerName val="0"/>
          <c:showPercent val="0"/>
          <c:showBubbleSize val="0"/>
        </c:dLbls>
        <c:gapWidth val="219"/>
        <c:overlap val="-27"/>
        <c:axId val="1956817616"/>
        <c:axId val="1953037824"/>
      </c:barChart>
      <c:catAx>
        <c:axId val="1956817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1953037824"/>
        <c:crosses val="autoZero"/>
        <c:auto val="1"/>
        <c:lblAlgn val="ctr"/>
        <c:lblOffset val="100"/>
        <c:noMultiLvlLbl val="0"/>
      </c:catAx>
      <c:valAx>
        <c:axId val="195303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19568176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lotArea>
      <c:layout/>
      <c:barChart>
        <c:barDir val="col"/>
        <c:grouping val="clustered"/>
        <c:varyColors val="0"/>
        <c:ser>
          <c:idx val="0"/>
          <c:order val="0"/>
          <c:tx>
            <c:strRef>
              <c:f>LEVELLER!$AC$2</c:f>
              <c:strCache>
                <c:ptCount val="1"/>
                <c:pt idx="0">
                  <c:v>Estonia</c:v>
                </c:pt>
              </c:strCache>
            </c:strRef>
          </c:tx>
          <c:spPr>
            <a:solidFill>
              <a:schemeClr val="accent1"/>
            </a:solidFill>
            <a:ln>
              <a:noFill/>
            </a:ln>
            <a:effectLst/>
          </c:spPr>
          <c:invertIfNegative val="0"/>
          <c:cat>
            <c:strRef>
              <c:f>LEVELLER!$AD$1:$AK$1</c:f>
              <c:strCache>
                <c:ptCount val="8"/>
                <c:pt idx="0">
                  <c:v>LEVEL 1</c:v>
                </c:pt>
                <c:pt idx="1">
                  <c:v>LEVEL 2</c:v>
                </c:pt>
                <c:pt idx="2">
                  <c:v>LEVEL 3</c:v>
                </c:pt>
                <c:pt idx="3">
                  <c:v>LEVEL 4</c:v>
                </c:pt>
                <c:pt idx="4">
                  <c:v>LEVEL 5</c:v>
                </c:pt>
                <c:pt idx="5">
                  <c:v>LEVEL 6</c:v>
                </c:pt>
                <c:pt idx="6">
                  <c:v>LEVEL 7</c:v>
                </c:pt>
                <c:pt idx="7">
                  <c:v>LEVEL 8</c:v>
                </c:pt>
              </c:strCache>
            </c:strRef>
          </c:cat>
          <c:val>
            <c:numRef>
              <c:f>LEVELLER!$AD$2:$AK$2</c:f>
              <c:numCache>
                <c:formatCode>0.0</c:formatCode>
                <c:ptCount val="8"/>
                <c:pt idx="0">
                  <c:v>0.28517573225322479</c:v>
                </c:pt>
                <c:pt idx="1">
                  <c:v>2.0593108320770463</c:v>
                </c:pt>
                <c:pt idx="2">
                  <c:v>8.7097948607804572</c:v>
                </c:pt>
                <c:pt idx="3">
                  <c:v>21.159820791914271</c:v>
                </c:pt>
                <c:pt idx="4">
                  <c:v>29.896048262573387</c:v>
                </c:pt>
                <c:pt idx="5">
                  <c:v>24.030530985492362</c:v>
                </c:pt>
                <c:pt idx="6">
                  <c:v>11.053392406976515</c:v>
                </c:pt>
                <c:pt idx="7">
                  <c:v>2.8059261279327448</c:v>
                </c:pt>
              </c:numCache>
            </c:numRef>
          </c:val>
          <c:extLst>
            <c:ext xmlns:c16="http://schemas.microsoft.com/office/drawing/2014/chart" uri="{C3380CC4-5D6E-409C-BE32-E72D297353CC}">
              <c16:uniqueId val="{00000000-B18C-4C8E-894E-627CB34AF674}"/>
            </c:ext>
          </c:extLst>
        </c:ser>
        <c:dLbls>
          <c:showLegendKey val="0"/>
          <c:showVal val="0"/>
          <c:showCatName val="0"/>
          <c:showSerName val="0"/>
          <c:showPercent val="0"/>
          <c:showBubbleSize val="0"/>
        </c:dLbls>
        <c:gapWidth val="219"/>
        <c:overlap val="-27"/>
        <c:axId val="282557792"/>
        <c:axId val="164265296"/>
      </c:barChart>
      <c:catAx>
        <c:axId val="282557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164265296"/>
        <c:crosses val="autoZero"/>
        <c:auto val="1"/>
        <c:lblAlgn val="ctr"/>
        <c:lblOffset val="100"/>
        <c:noMultiLvlLbl val="0"/>
      </c:catAx>
      <c:valAx>
        <c:axId val="16426529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282557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lotArea>
      <c:layout/>
      <c:barChart>
        <c:barDir val="col"/>
        <c:grouping val="clustered"/>
        <c:varyColors val="0"/>
        <c:ser>
          <c:idx val="0"/>
          <c:order val="0"/>
          <c:tx>
            <c:strRef>
              <c:f>LEVELLER!$AC$5</c:f>
              <c:strCache>
                <c:ptCount val="1"/>
                <c:pt idx="0">
                  <c:v>Estonia</c:v>
                </c:pt>
              </c:strCache>
            </c:strRef>
          </c:tx>
          <c:spPr>
            <a:solidFill>
              <a:schemeClr val="accent1"/>
            </a:solidFill>
            <a:ln>
              <a:noFill/>
            </a:ln>
            <a:effectLst/>
          </c:spPr>
          <c:invertIfNegative val="0"/>
          <c:cat>
            <c:strRef>
              <c:f>LEVELLER!$AD$4:$AJ$4</c:f>
              <c:strCache>
                <c:ptCount val="7"/>
                <c:pt idx="0">
                  <c:v>LEVEL 1</c:v>
                </c:pt>
                <c:pt idx="1">
                  <c:v>LEVEL 2</c:v>
                </c:pt>
                <c:pt idx="2">
                  <c:v>LEVEL 3</c:v>
                </c:pt>
                <c:pt idx="3">
                  <c:v>LEVEL 4</c:v>
                </c:pt>
                <c:pt idx="4">
                  <c:v>LEVEL 5</c:v>
                </c:pt>
                <c:pt idx="5">
                  <c:v>LEVEL 6</c:v>
                </c:pt>
                <c:pt idx="6">
                  <c:v>LEVEL 7</c:v>
                </c:pt>
              </c:strCache>
            </c:strRef>
          </c:cat>
          <c:val>
            <c:numRef>
              <c:f>LEVELLER!$AD$5:$AJ$5</c:f>
              <c:numCache>
                <c:formatCode>0.0</c:formatCode>
                <c:ptCount val="7"/>
                <c:pt idx="0">
                  <c:v>2.0866727772204441</c:v>
                </c:pt>
                <c:pt idx="1">
                  <c:v>8.1297435169410264</c:v>
                </c:pt>
                <c:pt idx="2">
                  <c:v>20.790873833259081</c:v>
                </c:pt>
                <c:pt idx="3">
                  <c:v>28.953315480454719</c:v>
                </c:pt>
                <c:pt idx="4">
                  <c:v>24.553715551143032</c:v>
                </c:pt>
                <c:pt idx="5">
                  <c:v>11.820761274296132</c:v>
                </c:pt>
                <c:pt idx="6">
                  <c:v>3.6649175666855722</c:v>
                </c:pt>
              </c:numCache>
            </c:numRef>
          </c:val>
          <c:extLst>
            <c:ext xmlns:c16="http://schemas.microsoft.com/office/drawing/2014/chart" uri="{C3380CC4-5D6E-409C-BE32-E72D297353CC}">
              <c16:uniqueId val="{00000000-DEAC-40FA-84F6-9CAA50B19829}"/>
            </c:ext>
          </c:extLst>
        </c:ser>
        <c:dLbls>
          <c:showLegendKey val="0"/>
          <c:showVal val="0"/>
          <c:showCatName val="0"/>
          <c:showSerName val="0"/>
          <c:showPercent val="0"/>
          <c:showBubbleSize val="0"/>
        </c:dLbls>
        <c:gapWidth val="219"/>
        <c:overlap val="-27"/>
        <c:axId val="282532352"/>
        <c:axId val="1104315056"/>
      </c:barChart>
      <c:catAx>
        <c:axId val="282532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1104315056"/>
        <c:crosses val="autoZero"/>
        <c:auto val="1"/>
        <c:lblAlgn val="ctr"/>
        <c:lblOffset val="100"/>
        <c:noMultiLvlLbl val="0"/>
      </c:catAx>
      <c:valAx>
        <c:axId val="110431505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282532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lotArea>
      <c:layout/>
      <c:barChart>
        <c:barDir val="col"/>
        <c:grouping val="clustered"/>
        <c:varyColors val="0"/>
        <c:ser>
          <c:idx val="0"/>
          <c:order val="0"/>
          <c:tx>
            <c:strRef>
              <c:f>LEVELLER!$AC$2</c:f>
              <c:strCache>
                <c:ptCount val="1"/>
                <c:pt idx="0">
                  <c:v>Estonia</c:v>
                </c:pt>
              </c:strCache>
            </c:strRef>
          </c:tx>
          <c:spPr>
            <a:solidFill>
              <a:schemeClr val="accent1"/>
            </a:solidFill>
            <a:ln>
              <a:noFill/>
            </a:ln>
            <a:effectLst/>
          </c:spPr>
          <c:invertIfNegative val="0"/>
          <c:cat>
            <c:strRef>
              <c:f>LEVELLER!$AD$1:$AK$1</c:f>
              <c:strCache>
                <c:ptCount val="8"/>
                <c:pt idx="0">
                  <c:v>LEVEL 1</c:v>
                </c:pt>
                <c:pt idx="1">
                  <c:v>LEVEL 2</c:v>
                </c:pt>
                <c:pt idx="2">
                  <c:v>LEVEL 3</c:v>
                </c:pt>
                <c:pt idx="3">
                  <c:v>LEVEL 4</c:v>
                </c:pt>
                <c:pt idx="4">
                  <c:v>LEVEL 5</c:v>
                </c:pt>
                <c:pt idx="5">
                  <c:v>LEVEL 6</c:v>
                </c:pt>
                <c:pt idx="6">
                  <c:v>LEVEL 7</c:v>
                </c:pt>
                <c:pt idx="7">
                  <c:v>LEVEL 8</c:v>
                </c:pt>
              </c:strCache>
            </c:strRef>
          </c:cat>
          <c:val>
            <c:numRef>
              <c:f>LEVELLER!$AD$2:$AK$2</c:f>
              <c:numCache>
                <c:formatCode>0.0</c:formatCode>
                <c:ptCount val="8"/>
                <c:pt idx="0">
                  <c:v>0.28517573225322479</c:v>
                </c:pt>
                <c:pt idx="1">
                  <c:v>2.0593108320770463</c:v>
                </c:pt>
                <c:pt idx="2">
                  <c:v>8.7097948607804572</c:v>
                </c:pt>
                <c:pt idx="3">
                  <c:v>21.159820791914271</c:v>
                </c:pt>
                <c:pt idx="4">
                  <c:v>29.896048262573387</c:v>
                </c:pt>
                <c:pt idx="5">
                  <c:v>24.030530985492362</c:v>
                </c:pt>
                <c:pt idx="6">
                  <c:v>11.053392406976515</c:v>
                </c:pt>
                <c:pt idx="7">
                  <c:v>2.8059261279327448</c:v>
                </c:pt>
              </c:numCache>
            </c:numRef>
          </c:val>
          <c:extLst>
            <c:ext xmlns:c16="http://schemas.microsoft.com/office/drawing/2014/chart" uri="{C3380CC4-5D6E-409C-BE32-E72D297353CC}">
              <c16:uniqueId val="{00000000-B18C-4C8E-894E-627CB34AF674}"/>
            </c:ext>
          </c:extLst>
        </c:ser>
        <c:dLbls>
          <c:showLegendKey val="0"/>
          <c:showVal val="0"/>
          <c:showCatName val="0"/>
          <c:showSerName val="0"/>
          <c:showPercent val="0"/>
          <c:showBubbleSize val="0"/>
        </c:dLbls>
        <c:gapWidth val="219"/>
        <c:overlap val="-27"/>
        <c:axId val="282557792"/>
        <c:axId val="164265296"/>
      </c:barChart>
      <c:catAx>
        <c:axId val="282557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164265296"/>
        <c:crosses val="autoZero"/>
        <c:auto val="1"/>
        <c:lblAlgn val="ctr"/>
        <c:lblOffset val="100"/>
        <c:noMultiLvlLbl val="0"/>
      </c:catAx>
      <c:valAx>
        <c:axId val="16426529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282557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lotArea>
      <c:layout/>
      <c:barChart>
        <c:barDir val="col"/>
        <c:grouping val="clustered"/>
        <c:varyColors val="0"/>
        <c:ser>
          <c:idx val="0"/>
          <c:order val="0"/>
          <c:tx>
            <c:strRef>
              <c:f>LEVELLER!$AC$11</c:f>
              <c:strCache>
                <c:ptCount val="1"/>
                <c:pt idx="0">
                  <c:v>Estonia</c:v>
                </c:pt>
              </c:strCache>
            </c:strRef>
          </c:tx>
          <c:spPr>
            <a:solidFill>
              <a:schemeClr val="accent1"/>
            </a:solidFill>
            <a:ln>
              <a:noFill/>
            </a:ln>
            <a:effectLst/>
          </c:spPr>
          <c:invertIfNegative val="0"/>
          <c:cat>
            <c:strRef>
              <c:f>LEVELLER!$AD$10:$AJ$10</c:f>
              <c:strCache>
                <c:ptCount val="7"/>
                <c:pt idx="0">
                  <c:v>LEVEL 1</c:v>
                </c:pt>
                <c:pt idx="1">
                  <c:v>LEVEL 2</c:v>
                </c:pt>
                <c:pt idx="2">
                  <c:v>LEVEL 3</c:v>
                </c:pt>
                <c:pt idx="3">
                  <c:v>LEVEL 4</c:v>
                </c:pt>
                <c:pt idx="4">
                  <c:v>LEVEL 5</c:v>
                </c:pt>
                <c:pt idx="5">
                  <c:v>LEVEL 6</c:v>
                </c:pt>
                <c:pt idx="6">
                  <c:v>LEVEL 7</c:v>
                </c:pt>
              </c:strCache>
            </c:strRef>
          </c:cat>
          <c:val>
            <c:numRef>
              <c:f>LEVELLER!$AD$11:$AJ$11</c:f>
              <c:numCache>
                <c:formatCode>0.0</c:formatCode>
                <c:ptCount val="7"/>
                <c:pt idx="0">
                  <c:v>1.2248787547279256</c:v>
                </c:pt>
                <c:pt idx="1">
                  <c:v>1.1294515234961409</c:v>
                </c:pt>
                <c:pt idx="2">
                  <c:v>7.5327177412708402</c:v>
                </c:pt>
                <c:pt idx="3">
                  <c:v>21.512143171909084</c:v>
                </c:pt>
                <c:pt idx="4">
                  <c:v>32.106341001368293</c:v>
                </c:pt>
                <c:pt idx="5">
                  <c:v>25.424817346534237</c:v>
                </c:pt>
                <c:pt idx="6">
                  <c:v>12.199101984189628</c:v>
                </c:pt>
              </c:numCache>
            </c:numRef>
          </c:val>
          <c:extLst>
            <c:ext xmlns:c16="http://schemas.microsoft.com/office/drawing/2014/chart" uri="{C3380CC4-5D6E-409C-BE32-E72D297353CC}">
              <c16:uniqueId val="{00000000-3B00-49AC-8C30-DD0CD820F041}"/>
            </c:ext>
          </c:extLst>
        </c:ser>
        <c:dLbls>
          <c:showLegendKey val="0"/>
          <c:showVal val="0"/>
          <c:showCatName val="0"/>
          <c:showSerName val="0"/>
          <c:showPercent val="0"/>
          <c:showBubbleSize val="0"/>
        </c:dLbls>
        <c:gapWidth val="219"/>
        <c:overlap val="-27"/>
        <c:axId val="282548672"/>
        <c:axId val="164268768"/>
      </c:barChart>
      <c:catAx>
        <c:axId val="282548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164268768"/>
        <c:crosses val="autoZero"/>
        <c:auto val="1"/>
        <c:lblAlgn val="ctr"/>
        <c:lblOffset val="100"/>
        <c:noMultiLvlLbl val="0"/>
      </c:catAx>
      <c:valAx>
        <c:axId val="16426876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2825486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lotArea>
      <c:layout/>
      <c:barChart>
        <c:barDir val="col"/>
        <c:grouping val="clustered"/>
        <c:varyColors val="0"/>
        <c:ser>
          <c:idx val="0"/>
          <c:order val="0"/>
          <c:tx>
            <c:strRef>
              <c:f>ORTALAMALAR!$N$6</c:f>
              <c:strCache>
                <c:ptCount val="1"/>
                <c:pt idx="0">
                  <c:v>Czech Republic</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r-T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ORTALAMALAR!$O$5:$Q$5</c:f>
              <c:strCache>
                <c:ptCount val="3"/>
                <c:pt idx="0">
                  <c:v>OKUMA</c:v>
                </c:pt>
                <c:pt idx="1">
                  <c:v>MATEMATİK</c:v>
                </c:pt>
                <c:pt idx="2">
                  <c:v>BİLİM</c:v>
                </c:pt>
              </c:strCache>
            </c:strRef>
          </c:cat>
          <c:val>
            <c:numRef>
              <c:f>ORTALAMALAR!$O$6:$Q$6</c:f>
              <c:numCache>
                <c:formatCode>0.0</c:formatCode>
                <c:ptCount val="3"/>
                <c:pt idx="0">
                  <c:v>490.21881502637234</c:v>
                </c:pt>
                <c:pt idx="1">
                  <c:v>499.4676509062466</c:v>
                </c:pt>
                <c:pt idx="2">
                  <c:v>496.79131065623119</c:v>
                </c:pt>
              </c:numCache>
            </c:numRef>
          </c:val>
          <c:extLst>
            <c:ext xmlns:c16="http://schemas.microsoft.com/office/drawing/2014/chart" uri="{C3380CC4-5D6E-409C-BE32-E72D297353CC}">
              <c16:uniqueId val="{00000000-D9C8-4A2E-83D0-E054113FD1D0}"/>
            </c:ext>
          </c:extLst>
        </c:ser>
        <c:dLbls>
          <c:dLblPos val="outEnd"/>
          <c:showLegendKey val="0"/>
          <c:showVal val="1"/>
          <c:showCatName val="0"/>
          <c:showSerName val="0"/>
          <c:showPercent val="0"/>
          <c:showBubbleSize val="0"/>
        </c:dLbls>
        <c:gapWidth val="219"/>
        <c:overlap val="-27"/>
        <c:axId val="282555872"/>
        <c:axId val="298002560"/>
      </c:barChart>
      <c:catAx>
        <c:axId val="282555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298002560"/>
        <c:crosses val="autoZero"/>
        <c:auto val="1"/>
        <c:lblAlgn val="ctr"/>
        <c:lblOffset val="100"/>
        <c:noMultiLvlLbl val="0"/>
      </c:catAx>
      <c:valAx>
        <c:axId val="298002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282555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lotArea>
      <c:layout/>
      <c:barChart>
        <c:barDir val="col"/>
        <c:grouping val="clustered"/>
        <c:varyColors val="0"/>
        <c:ser>
          <c:idx val="0"/>
          <c:order val="0"/>
          <c:tx>
            <c:strRef>
              <c:f>ORTALAMALAR!$N$35</c:f>
              <c:strCache>
                <c:ptCount val="1"/>
                <c:pt idx="0">
                  <c:v>Czech Republic</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r-T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ORTALAMALAR!$O$34:$Q$34</c:f>
              <c:strCache>
                <c:ptCount val="3"/>
                <c:pt idx="0">
                  <c:v>ORAN OKUMA</c:v>
                </c:pt>
                <c:pt idx="1">
                  <c:v>ORAN MAT</c:v>
                </c:pt>
                <c:pt idx="2">
                  <c:v>ORAN BİLİM</c:v>
                </c:pt>
              </c:strCache>
            </c:strRef>
          </c:cat>
          <c:val>
            <c:numRef>
              <c:f>ORTALAMALAR!$O$35:$Q$35</c:f>
              <c:numCache>
                <c:formatCode>0.0</c:formatCode>
                <c:ptCount val="3"/>
                <c:pt idx="0">
                  <c:v>5.0366744079961245</c:v>
                </c:pt>
                <c:pt idx="1">
                  <c:v>5.3610631600361138</c:v>
                </c:pt>
                <c:pt idx="2">
                  <c:v>5.2575234878965951</c:v>
                </c:pt>
              </c:numCache>
            </c:numRef>
          </c:val>
          <c:extLst>
            <c:ext xmlns:c16="http://schemas.microsoft.com/office/drawing/2014/chart" uri="{C3380CC4-5D6E-409C-BE32-E72D297353CC}">
              <c16:uniqueId val="{00000000-3E6E-424E-A19A-225EB62CDC13}"/>
            </c:ext>
          </c:extLst>
        </c:ser>
        <c:dLbls>
          <c:dLblPos val="outEnd"/>
          <c:showLegendKey val="0"/>
          <c:showVal val="1"/>
          <c:showCatName val="0"/>
          <c:showSerName val="0"/>
          <c:showPercent val="0"/>
          <c:showBubbleSize val="0"/>
        </c:dLbls>
        <c:gapWidth val="219"/>
        <c:overlap val="-27"/>
        <c:axId val="180611312"/>
        <c:axId val="169533968"/>
      </c:barChart>
      <c:catAx>
        <c:axId val="180611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169533968"/>
        <c:crosses val="autoZero"/>
        <c:auto val="1"/>
        <c:lblAlgn val="ctr"/>
        <c:lblOffset val="100"/>
        <c:noMultiLvlLbl val="0"/>
      </c:catAx>
      <c:valAx>
        <c:axId val="16953396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180611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lotArea>
      <c:layout/>
      <c:barChart>
        <c:barDir val="col"/>
        <c:grouping val="clustered"/>
        <c:varyColors val="0"/>
        <c:ser>
          <c:idx val="0"/>
          <c:order val="0"/>
          <c:tx>
            <c:strRef>
              <c:f>ANKET2!$P$4</c:f>
              <c:strCache>
                <c:ptCount val="1"/>
                <c:pt idx="0">
                  <c:v>Canada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r-T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ANKET2!$Q$3:$X$3</c:f>
              <c:strCache>
                <c:ptCount val="8"/>
                <c:pt idx="0">
                  <c:v>
Ne olduğunu bilmiyorum</c:v>
                </c:pt>
                <c:pt idx="1">
                  <c:v>Hiçbir zaman veya neredeyse hiçbir zaman</c:v>
                </c:pt>
                <c:pt idx="2">
                  <c:v>Ayda en az birkaç kez</c:v>
                </c:pt>
                <c:pt idx="3">
                  <c:v>Günde bir kaç kez</c:v>
                </c:pt>
                <c:pt idx="4">
                  <c:v>
Ne olduğunu bilmiyorum</c:v>
                </c:pt>
                <c:pt idx="5">
                  <c:v>Hiçbir zaman veya neredeyse hiçbir zaman</c:v>
                </c:pt>
                <c:pt idx="6">
                  <c:v>Ayda en az birkaç kez</c:v>
                </c:pt>
                <c:pt idx="7">
                  <c:v>Günde bir kaç kez</c:v>
                </c:pt>
              </c:strCache>
            </c:strRef>
          </c:cat>
          <c:val>
            <c:numRef>
              <c:f>ANKET2!$Q$4:$X$4</c:f>
              <c:numCache>
                <c:formatCode>0.0</c:formatCode>
                <c:ptCount val="8"/>
                <c:pt idx="0">
                  <c:v>2.7713558882973168</c:v>
                </c:pt>
                <c:pt idx="1">
                  <c:v>10.916347561985059</c:v>
                </c:pt>
                <c:pt idx="2">
                  <c:v>26.819565703342182</c:v>
                </c:pt>
                <c:pt idx="3">
                  <c:v>59.492730846375451</c:v>
                </c:pt>
                <c:pt idx="4">
                  <c:v>1.510930769643938</c:v>
                </c:pt>
                <c:pt idx="5">
                  <c:v>7.8873209487827296</c:v>
                </c:pt>
                <c:pt idx="6">
                  <c:v>21.070238321977762</c:v>
                </c:pt>
                <c:pt idx="7">
                  <c:v>69.531509959595567</c:v>
                </c:pt>
              </c:numCache>
            </c:numRef>
          </c:val>
          <c:extLst>
            <c:ext xmlns:c16="http://schemas.microsoft.com/office/drawing/2014/chart" uri="{C3380CC4-5D6E-409C-BE32-E72D297353CC}">
              <c16:uniqueId val="{00000000-0095-45A4-8D4C-47070CC99B6E}"/>
            </c:ext>
          </c:extLst>
        </c:ser>
        <c:dLbls>
          <c:showLegendKey val="0"/>
          <c:showVal val="0"/>
          <c:showCatName val="0"/>
          <c:showSerName val="0"/>
          <c:showPercent val="0"/>
          <c:showBubbleSize val="0"/>
        </c:dLbls>
        <c:gapWidth val="219"/>
        <c:overlap val="-27"/>
        <c:axId val="177878080"/>
        <c:axId val="152783184"/>
      </c:barChart>
      <c:catAx>
        <c:axId val="177878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152783184"/>
        <c:crosses val="autoZero"/>
        <c:auto val="1"/>
        <c:lblAlgn val="ctr"/>
        <c:lblOffset val="100"/>
        <c:noMultiLvlLbl val="0"/>
      </c:catAx>
      <c:valAx>
        <c:axId val="15278318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1778780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lotArea>
      <c:layout/>
      <c:barChart>
        <c:barDir val="col"/>
        <c:grouping val="clustered"/>
        <c:varyColors val="0"/>
        <c:ser>
          <c:idx val="0"/>
          <c:order val="0"/>
          <c:tx>
            <c:strRef>
              <c:f>Sayfa14!$J$11</c:f>
              <c:strCache>
                <c:ptCount val="1"/>
                <c:pt idx="0">
                  <c:v>Slovak Republic</c:v>
                </c:pt>
              </c:strCache>
            </c:strRef>
          </c:tx>
          <c:spPr>
            <a:solidFill>
              <a:schemeClr val="accent1"/>
            </a:solidFill>
            <a:ln>
              <a:noFill/>
            </a:ln>
            <a:effectLst/>
          </c:spPr>
          <c:invertIfNegative val="0"/>
          <c:cat>
            <c:strRef>
              <c:f>Sayfa14!$K$10:$L$10</c:f>
              <c:strCache>
                <c:ptCount val="2"/>
                <c:pt idx="0">
                  <c:v>Erkek</c:v>
                </c:pt>
                <c:pt idx="1">
                  <c:v>Kız</c:v>
                </c:pt>
              </c:strCache>
            </c:strRef>
          </c:cat>
          <c:val>
            <c:numRef>
              <c:f>Sayfa14!$K$11:$L$11</c:f>
              <c:numCache>
                <c:formatCode>0.0</c:formatCode>
                <c:ptCount val="2"/>
                <c:pt idx="0">
                  <c:v>12.62349293793889</c:v>
                </c:pt>
                <c:pt idx="1">
                  <c:v>10.715732713983654</c:v>
                </c:pt>
              </c:numCache>
            </c:numRef>
          </c:val>
          <c:extLst>
            <c:ext xmlns:c16="http://schemas.microsoft.com/office/drawing/2014/chart" uri="{C3380CC4-5D6E-409C-BE32-E72D297353CC}">
              <c16:uniqueId val="{00000000-C703-47BA-9F25-2E1A831E94CD}"/>
            </c:ext>
          </c:extLst>
        </c:ser>
        <c:dLbls>
          <c:showLegendKey val="0"/>
          <c:showVal val="0"/>
          <c:showCatName val="0"/>
          <c:showSerName val="0"/>
          <c:showPercent val="0"/>
          <c:showBubbleSize val="0"/>
        </c:dLbls>
        <c:gapWidth val="219"/>
        <c:overlap val="-27"/>
        <c:axId val="177899200"/>
        <c:axId val="27889920"/>
      </c:barChart>
      <c:catAx>
        <c:axId val="177899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27889920"/>
        <c:crosses val="autoZero"/>
        <c:auto val="1"/>
        <c:lblAlgn val="ctr"/>
        <c:lblOffset val="100"/>
        <c:noMultiLvlLbl val="0"/>
      </c:catAx>
      <c:valAx>
        <c:axId val="2788992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177899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lotArea>
      <c:layout/>
      <c:barChart>
        <c:barDir val="col"/>
        <c:grouping val="clustered"/>
        <c:varyColors val="0"/>
        <c:ser>
          <c:idx val="0"/>
          <c:order val="0"/>
          <c:tx>
            <c:strRef>
              <c:f>Sayfa16!$L$9</c:f>
              <c:strCache>
                <c:ptCount val="1"/>
                <c:pt idx="0">
                  <c:v>Latvia</c:v>
                </c:pt>
              </c:strCache>
            </c:strRef>
          </c:tx>
          <c:spPr>
            <a:solidFill>
              <a:schemeClr val="accent1"/>
            </a:solidFill>
            <a:ln>
              <a:noFill/>
            </a:ln>
            <a:effectLst/>
          </c:spPr>
          <c:invertIfNegative val="0"/>
          <c:cat>
            <c:strRef>
              <c:f>Sayfa16!$M$8:$R$8</c:f>
              <c:strCache>
                <c:ptCount val="6"/>
                <c:pt idx="0">
                  <c:v>PISA 2003</c:v>
                </c:pt>
                <c:pt idx="1">
                  <c:v>PISA 2005</c:v>
                </c:pt>
                <c:pt idx="2">
                  <c:v>PISA 2010</c:v>
                </c:pt>
                <c:pt idx="3">
                  <c:v>PISA 2006</c:v>
                </c:pt>
                <c:pt idx="4">
                  <c:v>PISA 2007</c:v>
                </c:pt>
                <c:pt idx="5">
                  <c:v>PISA 2008</c:v>
                </c:pt>
              </c:strCache>
            </c:strRef>
          </c:cat>
          <c:val>
            <c:numRef>
              <c:f>Sayfa16!$M$9:$R$9</c:f>
              <c:numCache>
                <c:formatCode>0.0</c:formatCode>
                <c:ptCount val="6"/>
                <c:pt idx="0">
                  <c:v>483.37494854382908</c:v>
                </c:pt>
                <c:pt idx="1">
                  <c:v>486.16608340191738</c:v>
                </c:pt>
                <c:pt idx="2">
                  <c:v>481.9538226208968</c:v>
                </c:pt>
                <c:pt idx="3">
                  <c:v>490.57102141135442</c:v>
                </c:pt>
                <c:pt idx="4">
                  <c:v>482.30507154661876</c:v>
                </c:pt>
                <c:pt idx="5">
                  <c:v>496.12633069612497</c:v>
                </c:pt>
              </c:numCache>
            </c:numRef>
          </c:val>
          <c:extLst>
            <c:ext xmlns:c16="http://schemas.microsoft.com/office/drawing/2014/chart" uri="{C3380CC4-5D6E-409C-BE32-E72D297353CC}">
              <c16:uniqueId val="{00000000-5059-4D96-BD2C-9528AAE1BE1D}"/>
            </c:ext>
          </c:extLst>
        </c:ser>
        <c:dLbls>
          <c:showLegendKey val="0"/>
          <c:showVal val="0"/>
          <c:showCatName val="0"/>
          <c:showSerName val="0"/>
          <c:showPercent val="0"/>
          <c:showBubbleSize val="0"/>
        </c:dLbls>
        <c:gapWidth val="219"/>
        <c:overlap val="-27"/>
        <c:axId val="1109782160"/>
        <c:axId val="167633280"/>
      </c:barChart>
      <c:catAx>
        <c:axId val="1109782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167633280"/>
        <c:crosses val="autoZero"/>
        <c:auto val="1"/>
        <c:lblAlgn val="ctr"/>
        <c:lblOffset val="100"/>
        <c:noMultiLvlLbl val="0"/>
      </c:catAx>
      <c:valAx>
        <c:axId val="16763328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1109782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externalData r:id="rId1" cx:autoUpdate="0"/>
    <cx:data id="0">
      <cx:numDim type="val">
        <cx:lvl ptCount="36">
          <cx:pt idx="0">1.5</cx:pt>
          <cx:pt idx="1">1</cx:pt>
          <cx:pt idx="2">1.2</cx:pt>
          <cx:pt idx="3">0.69999999999999996</cx:pt>
          <cx:pt idx="4">1.8</cx:pt>
          <cx:pt idx="5">3.7999999999999998</cx:pt>
          <cx:pt idx="6">0.80000000000000004</cx:pt>
          <cx:pt idx="7">0.59999999999999998</cx:pt>
          <cx:pt idx="8">0.29999999999999999</cx:pt>
          <cx:pt idx="9">0.80000000000000004</cx:pt>
          <cx:pt idx="10">1.2</cx:pt>
          <cx:pt idx="11">1.3999999999999999</cx:pt>
          <cx:pt idx="12">2.2000000000000002</cx:pt>
          <cx:pt idx="13">1.3</cx:pt>
          <cx:pt idx="14">2.3999999999999999</cx:pt>
          <cx:pt idx="15">0.20000000000000001</cx:pt>
          <cx:pt idx="16">5.7000000000000002</cx:pt>
          <cx:pt idx="17">1.8</cx:pt>
          <cx:pt idx="18">0.69999999999999996</cx:pt>
          <cx:pt idx="19">1.2</cx:pt>
          <cx:pt idx="20">0.59999999999999998</cx:pt>
          <cx:pt idx="21">1.1000000000000001</cx:pt>
          <cx:pt idx="22">2.5</cx:pt>
          <cx:pt idx="23">2.5</cx:pt>
          <cx:pt idx="24">1.5</cx:pt>
          <cx:pt idx="25">1.1000000000000001</cx:pt>
          <cx:pt idx="26">1.8</cx:pt>
          <cx:pt idx="27">0.59999999999999998</cx:pt>
          <cx:pt idx="28">0.90000000000000002</cx:pt>
          <cx:pt idx="29">2.3999999999999999</cx:pt>
          <cx:pt idx="30">0.69999999999999996</cx:pt>
          <cx:pt idx="31">1.6000000000000001</cx:pt>
          <cx:pt idx="32">1.3999999999999999</cx:pt>
          <cx:pt idx="33">0.69999999999999996</cx:pt>
          <cx:pt idx="34">0.80000000000000004</cx:pt>
          <cx:pt idx="35">1.1000000000000001</cx:pt>
        </cx:lvl>
      </cx:numDim>
    </cx:data>
  </cx:chartData>
  <cx:chart>
    <cx:title pos="t" align="ctr" overlay="0">
      <cx:tx>
        <cx:txData>
          <cx:v>1-D Boxplot of OKUMA_LVL1</cx:v>
        </cx:txData>
      </cx:tx>
      <cx:txPr>
        <a:bodyPr spcFirstLastPara="1" vertOverflow="ellipsis" wrap="square" lIns="0" tIns="0" rIns="0" bIns="0" anchor="ctr" anchorCtr="1"/>
        <a:lstStyle/>
        <a:p>
          <a:pPr algn="ctr">
            <a:defRPr/>
          </a:pPr>
          <a:r>
            <a:rPr lang="en-US" baseline="0"/>
            <a:t>1-D Boxplot of OKUMA_LVL1</a:t>
          </a:r>
        </a:p>
      </cx:txPr>
    </cx:title>
    <cx:plotArea>
      <cx:plotAreaRegion>
        <cx:series layoutId="boxWhisker" uniqueId="{6D9AB021-EF39-4252-A43C-ABA572526A4C}">
          <cx:dataId val="0"/>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externalData r:id="rId1" cx:autoUpdate="0"/>
    <cx:data id="0">
      <cx:numDim type="val">
        <cx:lvl ptCount="36">
          <cx:pt idx="0">5.5999999999999996</cx:pt>
          <cx:pt idx="1">6.4000000000000004</cx:pt>
          <cx:pt idx="2">6</cx:pt>
          <cx:pt idx="3">3.1000000000000001</cx:pt>
          <cx:pt idx="4">8.9000000000000004</cx:pt>
          <cx:pt idx="5">15.800000000000001</cx:pt>
          <cx:pt idx="6">5</cx:pt>
          <cx:pt idx="7">3.5</cx:pt>
          <cx:pt idx="8">2.1000000000000001</cx:pt>
          <cx:pt idx="9">3.2999999999999998</cx:pt>
          <cx:pt idx="10">5.7000000000000002</cx:pt>
          <cx:pt idx="11">5.7000000000000002</cx:pt>
          <cx:pt idx="12">9.3000000000000007</cx:pt>
          <cx:pt idx="13">7</cx:pt>
          <cx:pt idx="14">8</cx:pt>
          <cx:pt idx="15">2.1000000000000001</cx:pt>
          <cx:pt idx="16">10.4</cx:pt>
          <cx:pt idx="17">6.7000000000000002</cx:pt>
          <cx:pt idx="18">4.0999999999999996</cx:pt>
          <cx:pt idx="19">4.2999999999999998</cx:pt>
          <cx:pt idx="20">5.2000000000000002</cx:pt>
          <cx:pt idx="21">6.2999999999999998</cx:pt>
          <cx:pt idx="22">9.1999999999999993</cx:pt>
          <cx:pt idx="23">13.1</cx:pt>
          <cx:pt idx="24">7</cx:pt>
          <cx:pt idx="25">5.2000000000000002</cx:pt>
          <cx:pt idx="26">5.5999999999999996</cx:pt>
          <cx:pt idx="27">3.2999999999999998</cx:pt>
          <cx:pt idx="28">5</cx:pt>
          <cx:pt idx="29">9.1999999999999993</cx:pt>
          <cx:pt idx="30">4.2999999999999998</cx:pt>
          <cx:pt idx="31">5.0999999999999996</cx:pt>
          <cx:pt idx="32">7.0999999999999996</cx:pt>
          <cx:pt idx="33">6.2999999999999998</cx:pt>
          <cx:pt idx="34">4.2000000000000002</cx:pt>
          <cx:pt idx="35">5.4000000000000004</cx:pt>
        </cx:lvl>
      </cx:numDim>
    </cx:data>
  </cx:chartData>
  <cx:chart>
    <cx:title pos="t" align="ctr" overlay="0">
      <cx:tx>
        <cx:txData>
          <cx:v>1-D Boxplot of OKUMA_LVL2</cx:v>
        </cx:txData>
      </cx:tx>
      <cx:txPr>
        <a:bodyPr spcFirstLastPara="1" vertOverflow="ellipsis" wrap="square" lIns="0" tIns="0" rIns="0" bIns="0" anchor="ctr" anchorCtr="1"/>
        <a:lstStyle/>
        <a:p>
          <a:pPr algn="ctr">
            <a:defRPr/>
          </a:pPr>
          <a:r>
            <a:rPr lang="en-US" baseline="0"/>
            <a:t>1-D Boxplot of OKUMA_LVL2</a:t>
          </a:r>
        </a:p>
      </cx:txPr>
    </cx:title>
    <cx:plotArea>
      <cx:plotAreaRegion>
        <cx:series layoutId="boxWhisker" uniqueId="{6D9AB021-EF39-4252-A43C-ABA572526A4C}">
          <cx:dataId val="0"/>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externalData r:id="rId1" cx:autoUpdate="0"/>
    <cx:data id="0">
      <cx:numDim type="val">
        <cx:lvl ptCount="36">
          <cx:pt idx="0">20.899999999999999</cx:pt>
          <cx:pt idx="1">19.300000000000001</cx:pt>
          <cx:pt idx="2">20.399999999999999</cx:pt>
          <cx:pt idx="3">24</cx:pt>
          <cx:pt idx="4">11.800000000000001</cx:pt>
          <cx:pt idx="5">5.7000000000000002</cx:pt>
          <cx:pt idx="6">19.100000000000001</cx:pt>
          <cx:pt idx="7">21.600000000000001</cx:pt>
          <cx:pt idx="8">24</cx:pt>
          <cx:pt idx="9">25.399999999999999</cx:pt>
          <cx:pt idx="10">20.5</cx:pt>
          <cx:pt idx="11">21.5</cx:pt>
          <cx:pt idx="12">13.300000000000001</cx:pt>
          <cx:pt idx="13">17.5</cx:pt>
          <cx:pt idx="14">16.899999999999999</cx:pt>
          <cx:pt idx="15">24.100000000000001</cx:pt>
          <cx:pt idx="16">17.5</cx:pt>
          <cx:pt idx="17">16.899999999999999</cx:pt>
          <cx:pt idx="18">21.899999999999999</cx:pt>
          <cx:pt idx="19">24.600000000000001</cx:pt>
          <cx:pt idx="20">16.600000000000001</cx:pt>
          <cx:pt idx="21">16.899999999999999</cx:pt>
          <cx:pt idx="22">15.9</cx:pt>
          <cx:pt idx="23">5.2999999999999998</cx:pt>
          <cx:pt idx="24">18.800000000000001</cx:pt>
          <cx:pt idx="25">22.5</cx:pt>
          <cx:pt idx="26">21.600000000000001</cx:pt>
          <cx:pt idx="27">23</cx:pt>
          <cx:pt idx="28">21</cx:pt>
          <cx:pt idx="29">13.6</cx:pt>
          <cx:pt idx="30">20.300000000000001</cx:pt>
          <cx:pt idx="31">22.300000000000001</cx:pt>
          <cx:pt idx="32">18.5</cx:pt>
          <cx:pt idx="33">13.5</cx:pt>
          <cx:pt idx="34">21</cx:pt>
          <cx:pt idx="35">21.399999999999999</cx:pt>
        </cx:lvl>
      </cx:numDim>
    </cx:data>
  </cx:chartData>
  <cx:chart>
    <cx:title pos="t" align="ctr" overlay="0">
      <cx:tx>
        <cx:txData>
          <cx:v>1-D Boxplot of OKUMA_LVL6</cx:v>
        </cx:txData>
      </cx:tx>
      <cx:txPr>
        <a:bodyPr spcFirstLastPara="1" vertOverflow="ellipsis" wrap="square" lIns="0" tIns="0" rIns="0" bIns="0" anchor="ctr" anchorCtr="1"/>
        <a:lstStyle/>
        <a:p>
          <a:pPr algn="ctr">
            <a:defRPr/>
          </a:pPr>
          <a:r>
            <a:rPr lang="en-US" baseline="0"/>
            <a:t>1-D Boxplot of OKUMA_LVL6</a:t>
          </a:r>
        </a:p>
      </cx:txPr>
    </cx:title>
    <cx:plotArea>
      <cx:plotAreaRegion>
        <cx:series layoutId="boxWhisker" uniqueId="{6D9AB021-EF39-4252-A43C-ABA572526A4C}">
          <cx:dataId val="0"/>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externalData r:id="rId1" cx:autoUpdate="0"/>
    <cx:data id="0">
      <cx:numDim type="val">
        <cx:lvl ptCount="36">
          <cx:pt idx="0">7.5999999999999996</cx:pt>
          <cx:pt idx="1">7.2999999999999998</cx:pt>
          <cx:pt idx="2">6.9000000000000004</cx:pt>
          <cx:pt idx="3">5</cx:pt>
          <cx:pt idx="4">24.699999999999999</cx:pt>
          <cx:pt idx="5">35.5</cx:pt>
          <cx:pt idx="6">6.5999999999999996</cx:pt>
          <cx:pt idx="7">3.7000000000000002</cx:pt>
          <cx:pt idx="8">2.1000000000000001</cx:pt>
          <cx:pt idx="9">3.7999999999999998</cx:pt>
          <cx:pt idx="10">8</cx:pt>
          <cx:pt idx="11">7.5999999999999996</cx:pt>
          <cx:pt idx="12">15.300000000000001</cx:pt>
          <cx:pt idx="13">9.5999999999999996</cx:pt>
          <cx:pt idx="14">7.4000000000000004</cx:pt>
          <cx:pt idx="15">3.7999999999999998</cx:pt>
          <cx:pt idx="16">17.699999999999999</cx:pt>
          <cx:pt idx="17">9.0999999999999996</cx:pt>
          <cx:pt idx="18">2.8999999999999999</cx:pt>
          <cx:pt idx="19">5.4000000000000004</cx:pt>
          <cx:pt idx="20">4.4000000000000004</cx:pt>
          <cx:pt idx="21">9.3000000000000007</cx:pt>
          <cx:pt idx="22">10.9</cx:pt>
          <cx:pt idx="23">26</cx:pt>
          <cx:pt idx="24">4.5</cx:pt>
          <cx:pt idx="25">7.5999999999999996</cx:pt>
          <cx:pt idx="26">6.5</cx:pt>
          <cx:pt idx="27">4.2000000000000002</cx:pt>
          <cx:pt idx="28">9.3000000000000007</cx:pt>
          <cx:pt idx="29">10.699999999999999</cx:pt>
          <cx:pt idx="30">4.7999999999999998</cx:pt>
          <cx:pt idx="31">8.6999999999999993</cx:pt>
          <cx:pt idx="32">6</cx:pt>
          <cx:pt idx="33">4.7999999999999998</cx:pt>
          <cx:pt idx="34">13.800000000000001</cx:pt>
          <cx:pt idx="35">6.4000000000000004</cx:pt>
        </cx:lvl>
      </cx:numDim>
    </cx:data>
  </cx:chartData>
  <cx:chart>
    <cx:title pos="t" align="ctr" overlay="0">
      <cx:tx>
        <cx:txData>
          <cx:v>1-D Boxplot of MAT_LVL1</cx:v>
        </cx:txData>
      </cx:tx>
      <cx:txPr>
        <a:bodyPr spcFirstLastPara="1" vertOverflow="ellipsis" wrap="square" lIns="0" tIns="0" rIns="0" bIns="0" anchor="ctr" anchorCtr="1"/>
        <a:lstStyle/>
        <a:p>
          <a:pPr algn="ctr">
            <a:defRPr/>
          </a:pPr>
          <a:r>
            <a:rPr lang="en-US" baseline="0"/>
            <a:t>1-D Boxplot of MAT_LVL1</a:t>
          </a:r>
        </a:p>
      </cx:txPr>
    </cx:title>
    <cx:plotArea>
      <cx:plotAreaRegion>
        <cx:series layoutId="boxWhisker" uniqueId="{6D9AB021-EF39-4252-A43C-ABA572526A4C}">
          <cx:dataId val="0"/>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externalData r:id="rId1" cx:autoUpdate="0"/>
    <cx:data id="0">
      <cx:numDim type="val">
        <cx:lvl ptCount="36">
          <cx:pt idx="0">14.800000000000001</cx:pt>
          <cx:pt idx="1">13.800000000000001</cx:pt>
          <cx:pt idx="2">12.800000000000001</cx:pt>
          <cx:pt idx="3">11.300000000000001</cx:pt>
          <cx:pt idx="4">27.199999999999999</cx:pt>
          <cx:pt idx="5">29.899999999999999</cx:pt>
          <cx:pt idx="6">13.800000000000001</cx:pt>
          <cx:pt idx="7">10.9</cx:pt>
          <cx:pt idx="8">8.0999999999999996</cx:pt>
          <cx:pt idx="9">11.1</cx:pt>
          <cx:pt idx="10">13.199999999999999</cx:pt>
          <cx:pt idx="11">13.5</cx:pt>
          <cx:pt idx="12">20.5</cx:pt>
          <cx:pt idx="13">16.100000000000001</cx:pt>
          <cx:pt idx="14">13.300000000000001</cx:pt>
          <cx:pt idx="15">11.9</cx:pt>
          <cx:pt idx="16">16.399999999999999</cx:pt>
          <cx:pt idx="17">14.800000000000001</cx:pt>
          <cx:pt idx="18">8.5999999999999996</cx:pt>
          <cx:pt idx="19">9.5999999999999996</cx:pt>
          <cx:pt idx="20">12.9</cx:pt>
          <cx:pt idx="21">16.399999999999999</cx:pt>
          <cx:pt idx="22">16.399999999999999</cx:pt>
          <cx:pt idx="23">30.300000000000001</cx:pt>
          <cx:pt idx="24">11.199999999999999</cx:pt>
          <cx:pt idx="25">14.199999999999999</cx:pt>
          <cx:pt idx="26">12.4</cx:pt>
          <cx:pt idx="27">10.5</cx:pt>
          <cx:pt idx="28">14</cx:pt>
          <cx:pt idx="29">14.4</cx:pt>
          <cx:pt idx="30">11.699999999999999</cx:pt>
          <cx:pt idx="31">16</cx:pt>
          <cx:pt idx="32">12.800000000000001</cx:pt>
          <cx:pt idx="33">12</cx:pt>
          <cx:pt idx="34">22.899999999999999</cx:pt>
          <cx:pt idx="35">12.800000000000001</cx:pt>
        </cx:lvl>
      </cx:numDim>
    </cx:data>
  </cx:chartData>
  <cx:chart>
    <cx:title pos="t" align="ctr" overlay="0">
      <cx:tx>
        <cx:txData>
          <cx:v>1-D Boxplot of MAT_LVL2</cx:v>
        </cx:txData>
      </cx:tx>
      <cx:txPr>
        <a:bodyPr spcFirstLastPara="1" vertOverflow="ellipsis" wrap="square" lIns="0" tIns="0" rIns="0" bIns="0" anchor="ctr" anchorCtr="1"/>
        <a:lstStyle/>
        <a:p>
          <a:pPr algn="ctr">
            <a:defRPr/>
          </a:pPr>
          <a:r>
            <a:rPr lang="en-US" baseline="0"/>
            <a:t>1-D Boxplot of MAT_LVL2</a:t>
          </a:r>
        </a:p>
      </cx:txPr>
    </cx:title>
    <cx:plotArea>
      <cx:plotAreaRegion>
        <cx:series layoutId="boxWhisker" uniqueId="{6D9AB021-EF39-4252-A43C-ABA572526A4C}">
          <cx:dataId val="0"/>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externalData r:id="rId1" cx:autoUpdate="0"/>
    <cx:data id="0">
      <cx:numDim type="val">
        <cx:lvl ptCount="36">
          <cx:pt idx="0">8</cx:pt>
          <cx:pt idx="1">10</cx:pt>
          <cx:pt idx="2">12.5</cx:pt>
          <cx:pt idx="3">11.300000000000001</cx:pt>
          <cx:pt idx="4">1.1000000000000001</cx:pt>
          <cx:pt idx="5">0.5</cx:pt>
          <cx:pt idx="6">9.5</cx:pt>
          <cx:pt idx="7">9.5</cx:pt>
          <cx:pt idx="8">11.800000000000001</cx:pt>
          <cx:pt idx="9">9.3000000000000007</cx:pt>
          <cx:pt idx="10">9.1999999999999993</cx:pt>
          <cx:pt idx="11">10.5</cx:pt>
          <cx:pt idx="12">3.2000000000000002</cx:pt>
          <cx:pt idx="13">6.5</cx:pt>
          <cx:pt idx="14">8.5</cx:pt>
          <cx:pt idx="15">7.2000000000000002</cx:pt>
          <cx:pt idx="16">7</cx:pt>
          <cx:pt idx="17">7.5</cx:pt>
          <cx:pt idx="18">14</cx:pt>
          <cx:pt idx="19">14.4</cx:pt>
          <cx:pt idx="20">7.0999999999999996</cx:pt>
          <cx:pt idx="21">6.7999999999999998</cx:pt>
          <cx:pt idx="22">8.5999999999999996</cx:pt>
          <cx:pt idx="23">0.5</cx:pt>
          <cx:pt idx="24">14.199999999999999</cx:pt>
          <cx:pt idx="25">8.8000000000000007</cx:pt>
          <cx:pt idx="26">9.8000000000000007</cx:pt>
          <cx:pt idx="27">11.699999999999999</cx:pt>
          <cx:pt idx="28">9.0999999999999996</cx:pt>
          <cx:pt idx="29">8.4000000000000004</cx:pt>
          <cx:pt idx="30">10.5</cx:pt>
          <cx:pt idx="31">6.2000000000000002</cx:pt>
          <cx:pt idx="32">10</cx:pt>
          <cx:pt idx="33">12.1</cx:pt>
          <cx:pt idx="34">3.8999999999999999</cx:pt>
          <cx:pt idx="35">9.8000000000000007</cx:pt>
        </cx:lvl>
      </cx:numDim>
    </cx:data>
  </cx:chartData>
  <cx:chart>
    <cx:title pos="t" align="ctr" overlay="0">
      <cx:tx>
        <cx:txData>
          <cx:v>1-D Boxplot of MAT_LVL6</cx:v>
        </cx:txData>
      </cx:tx>
      <cx:txPr>
        <a:bodyPr spcFirstLastPara="1" vertOverflow="ellipsis" wrap="square" lIns="0" tIns="0" rIns="0" bIns="0" anchor="ctr" anchorCtr="1"/>
        <a:lstStyle/>
        <a:p>
          <a:pPr algn="ctr">
            <a:defRPr/>
          </a:pPr>
          <a:r>
            <a:rPr lang="en-US" baseline="0"/>
            <a:t>1-D Boxplot of MAT_LVL6</a:t>
          </a:r>
        </a:p>
      </cx:txPr>
    </cx:title>
    <cx:plotArea>
      <cx:plotAreaRegion>
        <cx:series layoutId="boxWhisker" uniqueId="{6D9AB021-EF39-4252-A43C-ABA572526A4C}">
          <cx:dataId val="0"/>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externalData r:id="rId1" cx:autoUpdate="0"/>
    <cx:data id="0">
      <cx:numDim type="val">
        <cx:lvl ptCount="36">
          <cx:pt idx="0">5.0999999999999996</cx:pt>
          <cx:pt idx="1">5.4000000000000004</cx:pt>
          <cx:pt idx="2">5.9000000000000004</cx:pt>
          <cx:pt idx="3">3</cx:pt>
          <cx:pt idx="4">9.8000000000000007</cx:pt>
          <cx:pt idx="5">17.399999999999999</cx:pt>
          <cx:pt idx="6">4.2999999999999998</cx:pt>
          <cx:pt idx="7">4.7999999999999998</cx:pt>
          <cx:pt idx="8">1.2</cx:pt>
          <cx:pt idx="9">3.2000000000000002</cx:pt>
          <cx:pt idx="10">5.5999999999999996</cx:pt>
          <cx:pt idx="11">5.7999999999999998</cx:pt>
          <cx:pt idx="12">9.3000000000000007</cx:pt>
          <cx:pt idx="13">6.2999999999999998</cx:pt>
          <cx:pt idx="14">6.4000000000000004</cx:pt>
          <cx:pt idx="15">3.6000000000000001</cx:pt>
          <cx:pt idx="16">13.9</cx:pt>
          <cx:pt idx="17">7.5999999999999996</cx:pt>
          <cx:pt idx="18">2</cx:pt>
          <cx:pt idx="19">3.5</cx:pt>
          <cx:pt idx="20">3.7000000000000002</cx:pt>
          <cx:pt idx="21">5.2000000000000002</cx:pt>
          <cx:pt idx="22">7.5999999999999996</cx:pt>
          <cx:pt idx="23">12.6</cx:pt>
          <cx:pt idx="24">5.7000000000000002</cx:pt>
          <cx:pt idx="25">4.9000000000000004</cx:pt>
          <cx:pt idx="26">6.7000000000000002</cx:pt>
          <cx:pt idx="27">2.7000000000000002</cx:pt>
          <cx:pt idx="28">4.7999999999999998</cx:pt>
          <cx:pt idx="29">9.4000000000000004</cx:pt>
          <cx:pt idx="30">2.7000000000000002</cx:pt>
          <cx:pt idx="31">5.0999999999999996</cx:pt>
          <cx:pt idx="32">5.2000000000000002</cx:pt>
          <cx:pt idx="33">5</cx:pt>
          <cx:pt idx="34">5</cx:pt>
          <cx:pt idx="35">4.5</cx:pt>
        </cx:lvl>
      </cx:numDim>
    </cx:data>
  </cx:chartData>
  <cx:chart>
    <cx:title pos="t" align="ctr" overlay="0">
      <cx:tx>
        <cx:txData>
          <cx:v>1-D Boxplot of BİLİM_LVL1</cx:v>
        </cx:txData>
      </cx:tx>
      <cx:txPr>
        <a:bodyPr spcFirstLastPara="1" vertOverflow="ellipsis" wrap="square" lIns="0" tIns="0" rIns="0" bIns="0" anchor="ctr" anchorCtr="1"/>
        <a:lstStyle/>
        <a:p>
          <a:pPr algn="ctr">
            <a:defRPr/>
          </a:pPr>
          <a:r>
            <a:rPr lang="en-US" baseline="0"/>
            <a:t>1-D Boxplot of BİLİM_LVL1</a:t>
          </a:r>
        </a:p>
      </cx:txPr>
    </cx:title>
    <cx:plotArea>
      <cx:plotAreaRegion>
        <cx:series layoutId="boxWhisker" uniqueId="{6D9AB021-EF39-4252-A43C-ABA572526A4C}">
          <cx:dataId val="0"/>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externalData r:id="rId1" cx:autoUpdate="0"/>
    <cx:data id="0">
      <cx:numDim type="val">
        <cx:lvl ptCount="36">
          <cx:pt idx="0">4.5</cx:pt>
          <cx:pt idx="1">4.7999999999999998</cx:pt>
          <cx:pt idx="2">5.2999999999999998</cx:pt>
          <cx:pt idx="3">2.6000000000000001</cx:pt>
          <cx:pt idx="4">8.8000000000000007</cx:pt>
          <cx:pt idx="5">15.300000000000001</cx:pt>
          <cx:pt idx="6">3.8999999999999999</cx:pt>
          <cx:pt idx="7">4.0999999999999996</cx:pt>
          <cx:pt idx="8">1.1000000000000001</cx:pt>
          <cx:pt idx="9">2.7999999999999998</cx:pt>
          <cx:pt idx="10">5</cx:pt>
          <cx:pt idx="11">5</cx:pt>
          <cx:pt idx="12">8.0999999999999996</cx:pt>
          <cx:pt idx="13">5.7000000000000002</cx:pt>
          <cx:pt idx="14">5.9000000000000004</cx:pt>
          <cx:pt idx="15">3.2999999999999998</cx:pt>
          <cx:pt idx="16">10.699999999999999</cx:pt>
          <cx:pt idx="17">6.5999999999999996</cx:pt>
          <cx:pt idx="18">1.8</cx:pt>
          <cx:pt idx="19">3.1000000000000001</cx:pt>
          <cx:pt idx="20">3.3999999999999999</cx:pt>
          <cx:pt idx="21">4.7000000000000002</cx:pt>
          <cx:pt idx="22">6.7999999999999998</cx:pt>
          <cx:pt idx="23">11.6</cx:pt>
          <cx:pt idx="24">4.7999999999999998</cx:pt>
          <cx:pt idx="25">4.2999999999999998</cx:pt>
          <cx:pt idx="26">5.7000000000000002</cx:pt>
          <cx:pt idx="27">2.5</cx:pt>
          <cx:pt idx="28">4.4000000000000004</cx:pt>
          <cx:pt idx="29">7.9000000000000004</cx:pt>
          <cx:pt idx="30">2.5</cx:pt>
          <cx:pt idx="31">4.5</cx:pt>
          <cx:pt idx="32">4.5999999999999996</cx:pt>
          <cx:pt idx="33">4.5999999999999996</cx:pt>
          <cx:pt idx="34">4.7000000000000002</cx:pt>
          <cx:pt idx="35">3.8999999999999999</cx:pt>
        </cx:lvl>
      </cx:numDim>
    </cx:data>
  </cx:chartData>
  <cx:chart>
    <cx:title pos="t" align="ctr" overlay="0">
      <cx:tx>
        <cx:txData>
          <cx:v>1-D Boxplot of BİLİM_LVL2</cx:v>
        </cx:txData>
      </cx:tx>
      <cx:txPr>
        <a:bodyPr spcFirstLastPara="1" vertOverflow="ellipsis" wrap="square" lIns="0" tIns="0" rIns="0" bIns="0" anchor="ctr" anchorCtr="1"/>
        <a:lstStyle/>
        <a:p>
          <a:pPr algn="ctr">
            <a:defRPr/>
          </a:pPr>
          <a:r>
            <a:rPr lang="en-US" baseline="0"/>
            <a:t>1-D Boxplot of BİLİM_LVL2</a:t>
          </a:r>
        </a:p>
      </cx:txPr>
    </cx:title>
    <cx:plotArea>
      <cx:plotAreaRegion>
        <cx:series layoutId="boxWhisker" uniqueId="{6D9AB021-EF39-4252-A43C-ABA572526A4C}">
          <cx:dataId val="0"/>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externalData r:id="rId1" cx:autoUpdate="0"/>
    <cx:data id="0">
      <cx:numDim type="val">
        <cx:lvl ptCount="36">
          <cx:pt idx="0">21.199999999999999</cx:pt>
          <cx:pt idx="1">19.199999999999999</cx:pt>
          <cx:pt idx="2">21.300000000000001</cx:pt>
          <cx:pt idx="3">23.5</cx:pt>
          <cx:pt idx="4">7.9000000000000004</cx:pt>
          <cx:pt idx="5">4.2000000000000002</cx:pt>
          <cx:pt idx="6">19.100000000000001</cx:pt>
          <cx:pt idx="7">19.100000000000001</cx:pt>
          <cx:pt idx="8">25.399999999999999</cx:pt>
          <cx:pt idx="9">24.899999999999999</cx:pt>
          <cx:pt idx="10">20</cx:pt>
          <cx:pt idx="11">21.5</cx:pt>
          <cx:pt idx="12">9.3000000000000007</cx:pt>
          <cx:pt idx="13">17</cx:pt>
          <cx:pt idx="14">15.199999999999999</cx:pt>
          <cx:pt idx="15">19</cx:pt>
          <cx:pt idx="16">15.1</cx:pt>
          <cx:pt idx="17">13.4</cx:pt>
          <cx:pt idx="18">26.5</cx:pt>
          <cx:pt idx="19">24.5</cx:pt>
          <cx:pt idx="20">16.800000000000001</cx:pt>
          <cx:pt idx="21">16.300000000000001</cx:pt>
          <cx:pt idx="22">16.600000000000001</cx:pt>
          <cx:pt idx="23">3.5</cx:pt>
          <cx:pt idx="24">22.100000000000001</cx:pt>
          <cx:pt idx="25">21.800000000000001</cx:pt>
          <cx:pt idx="26">18.699999999999999</cx:pt>
          <cx:pt idx="27">22</cx:pt>
          <cx:pt idx="28">19.199999999999999</cx:pt>
          <cx:pt idx="29">13.199999999999999</cx:pt>
          <cx:pt idx="30">21.800000000000001</cx:pt>
          <cx:pt idx="31">16.800000000000001</cx:pt>
          <cx:pt idx="32">20.699999999999999</cx:pt>
          <cx:pt idx="33">19.300000000000001</cx:pt>
          <cx:pt idx="34">12.300000000000001</cx:pt>
          <cx:pt idx="35">20.800000000000001</cx:pt>
        </cx:lvl>
      </cx:numDim>
    </cx:data>
  </cx:chartData>
  <cx:chart>
    <cx:title pos="t" align="ctr" overlay="0">
      <cx:tx>
        <cx:txData>
          <cx:v>1-D Boxplot of BİLİM_LVL6</cx:v>
        </cx:txData>
      </cx:tx>
      <cx:txPr>
        <a:bodyPr spcFirstLastPara="1" vertOverflow="ellipsis" wrap="square" lIns="0" tIns="0" rIns="0" bIns="0" anchor="ctr" anchorCtr="1"/>
        <a:lstStyle/>
        <a:p>
          <a:pPr algn="ctr">
            <a:defRPr/>
          </a:pPr>
          <a:r>
            <a:rPr lang="en-US" baseline="0"/>
            <a:t>1-D Boxplot of BİLİM_LVL6</a:t>
          </a:r>
        </a:p>
      </cx:txPr>
    </cx:title>
    <cx:plotArea>
      <cx:plotAreaRegion>
        <cx:series layoutId="boxWhisker" uniqueId="{6D9AB021-EF39-4252-A43C-ABA572526A4C}">
          <cx:dataId val="0"/>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externalData r:id="rId1" cx:autoUpdate="0"/>
    <cx:data id="0">
      <cx:numDim type="val">
        <cx:lvl ptCount="78">
          <cx:pt idx="0">4.625731686</cx:pt>
          <cx:pt idx="1">4.873932999</cx:pt>
          <cx:pt idx="2">4.8049151979999998</cx:pt>
          <cx:pt idx="3">5.1854517549999999</cx:pt>
          <cx:pt idx="4">4.91505817</cx:pt>
          <cx:pt idx="5">4.6499764050000003</cx:pt>
          <cx:pt idx="6">5.0366744079999997</cx:pt>
          <cx:pt idx="7">5.4414688849999999</cx:pt>
          <cx:pt idx="8">5.6111197180000003</cx:pt>
          <cx:pt idx="9">5.2241504619999999</cx:pt>
          <cx:pt idx="10">4.8688561589999999</cx:pt>
          <cx:pt idx="11">4.7119375259999998</cx:pt>
          <cx:pt idx="12">4.6952047969999997</cx:pt>
          <cx:pt idx="13">4.8777484859999998</cx:pt>
          <cx:pt idx="14">4.5262124119999996</cx:pt>
          <cx:pt idx="15">5.7117602850000004</cx:pt>
          <cx:pt idx="16">3.779633746</cx:pt>
          <cx:pt idx="17">4.9168671430000002</cx:pt>
          <cx:pt idx="18">5.187917165</cx:pt>
          <cx:pt idx="19">5.0396028490000004</cx:pt>
          <cx:pt idx="20">5.3171617810000003</cx:pt>
          <cx:pt idx="21">5.0462886950000003</cx:pt>
          <cx:pt idx="22">4.3355290740000001</cx:pt>
          <cx:pt idx="23">5.0350007520000002</cx:pt>
          <cx:pt idx="24">4.6255180869999997</cx:pt>
          <cx:pt idx="25">4.7575939839999997</cx:pt>
          <cx:pt idx="26">4.7265318760000001</cx:pt>
          <cx:pt idx="27">5.2586742500000003</cx:pt>
          <cx:pt idx="28">5.1183876420000001</cx:pt>
          <cx:pt idx="29">4.564676425</cx:pt>
          <cx:pt idx="30">5.2919001100000003</cx:pt>
          <cx:pt idx="31">4.7034662730000001</cx:pt>
          <cx:pt idx="32">4.7114963960000003</cx:pt>
          <cx:pt idx="33">5.3116383340000004</cx:pt>
          <cx:pt idx="34">5.0287257700000003</cx:pt>
          <cx:pt idx="35">4.6837667119999997</cx:pt>
          <cx:pt idx="36">5.0504841620000001</cx:pt>
          <cx:pt idx="37">4.1055788250000003</cx:pt>
          <cx:pt idx="38">5.2582488940000003</cx:pt>
          <cx:pt idx="39">5.2993400719999997</cx:pt>
          <cx:pt idx="40">5.0800328480000001</cx:pt>
          <cx:pt idx="41">4.143610572</cx:pt>
          <cx:pt idx="42">4.1879465160000002</cx:pt>
          <cx:pt idx="43">6.3654445409999996</cx:pt>
          <cx:pt idx="44">4.1397817520000002</cx:pt>
          <cx:pt idx="45">5.2435270039999997</cx:pt>
          <cx:pt idx="46">5.3699556099999999</cx:pt>
          <cx:pt idx="47">4.3302734000000003</cx:pt>
          <cx:pt idx="48">4.1738679479999998</cx:pt>
          <cx:pt idx="49">4.5040434029999998</cx:pt>
          <cx:pt idx="50">5.2703441069999997</cx:pt>
          <cx:pt idx="51">4.9380789260000002</cx:pt>
          <cx:pt idx="52">4.7981932409999999</cx:pt>
          <cx:pt idx="53">5.0031683940000002</cx:pt>
          <cx:pt idx="54">5.1709023360000002</cx:pt>
          <cx:pt idx="55">3.1190717810000002</cx:pt>
          <cx:pt idx="56">5.7012648119999998</cx:pt>
          <cx:pt idx="57">4.8918676760000004</cx:pt>
          <cx:pt idx="58">3.9732038369999998</cx:pt>
          <cx:pt idx="59">4.5433125299999997</cx:pt>
          <cx:pt idx="60">4.8952688090000001</cx:pt>
          <cx:pt idx="61">4.81617126</cx:pt>
          <cx:pt idx="62">4.1637955079999998</cx:pt>
          <cx:pt idx="63">4.2938469819999998</cx:pt>
          <cx:pt idx="64">4.3624077809999999</cx:pt>
          <cx:pt idx="65">4.2532393900000001</cx:pt>
          <cx:pt idx="66">3.7138265659999998</cx:pt>
          <cx:pt idx="67">4.3474881700000001</cx:pt>
          <cx:pt idx="68">5.1509092399999998</cx:pt>
          <cx:pt idx="69">4.7303597259999997</cx:pt>
          <cx:pt idx="70">4.5578257259999999</cx:pt>
          <cx:pt idx="71">5.0434678509999999</cx:pt>
          <cx:pt idx="72">4.940646782</cx:pt>
          <cx:pt idx="73">4.9782560330000001</cx:pt>
          <cx:pt idx="74">4.9919418230000003</cx:pt>
          <cx:pt idx="75">3.8102515760000002</cx:pt>
          <cx:pt idx="76">4.4529691480000002</cx:pt>
          <cx:pt idx="77">6.856802096</cx:pt>
        </cx:lvl>
      </cx:numDim>
    </cx:data>
  </cx:chartData>
  <cx:chart>
    <cx:title pos="t" align="ctr" overlay="0">
      <cx:tx>
        <cx:rich>
          <a:bodyPr spcFirstLastPara="1" vertOverflow="ellipsis" wrap="square" lIns="0" tIns="0" rIns="0" bIns="0" anchor="ctr" anchorCtr="1"/>
          <a:lstStyle/>
          <a:p>
            <a:pPr algn="ctr">
              <a:defRPr/>
            </a:pPr>
            <a:r>
              <a:rPr lang="en-US" baseline="0"/>
              <a:t>1-D Boxplot of </a:t>
            </a:r>
            <a:r>
              <a:rPr lang="tr-TR" baseline="0"/>
              <a:t>OKUMA ORAN</a:t>
            </a:r>
            <a:endParaRPr lang="en-US" baseline="0"/>
          </a:p>
        </cx:rich>
      </cx:tx>
    </cx:title>
    <cx:plotArea>
      <cx:plotAreaRegion>
        <cx:series layoutId="boxWhisker" uniqueId="{6D9AB021-EF39-4252-A43C-ABA572526A4C}">
          <cx:dataId val="0"/>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externalData r:id="rId1" cx:autoUpdate="0"/>
    <cx:data id="0">
      <cx:numDim type="val">
        <cx:lvl ptCount="78">
          <cx:pt idx="0">5</cx:pt>
          <cx:pt idx="1">5.1200000000000001</cx:pt>
          <cx:pt idx="2">5.0499999999999998</cx:pt>
          <cx:pt idx="3">5.4100000000000001</cx:pt>
          <cx:pt idx="4">5.3099999999999996</cx:pt>
          <cx:pt idx="5">5.04</cx:pt>
          <cx:pt idx="6">5.2599999999999998</cx:pt>
          <cx:pt idx="7">5.3899999999999997</cx:pt>
          <cx:pt idx="8">6.0300000000000002</cx:pt>
          <cx:pt idx="9">5.4100000000000001</cx:pt>
          <cx:pt idx="10">5.1299999999999999</cx:pt>
          <cx:pt idx="11">4.8899999999999997</cx:pt>
          <cx:pt idx="12">5.2599999999999998</cx:pt>
          <cx:pt idx="13">5.1200000000000001</cx:pt>
          <cx:pt idx="14">5.21</cx:pt>
          <cx:pt idx="15">5.6200000000000001</cx:pt>
          <cx:pt idx="16">4.1699999999999999</cx:pt>
          <cx:pt idx="17">5.1900000000000004</cx:pt>
          <cx:pt idx="18">5.75</cx:pt>
          <cx:pt idx="19">5.2999999999999998</cx:pt>
          <cx:pt idx="20">5.7800000000000002</cx:pt>
          <cx:pt idx="21">5.3399999999999999</cx:pt>
          <cx:pt idx="22">4.8399999999999999</cx:pt>
          <cx:pt idx="23">5.6299999999999999</cx:pt>
          <cx:pt idx="24">4.8200000000000003</cx:pt>
          <cx:pt idx="25">4.9699999999999998</cx:pt>
          <cx:pt idx="26">4.9800000000000004</cx:pt>
          <cx:pt idx="27">5.5800000000000001</cx:pt>
          <cx:pt idx="28">5.3499999999999996</cx:pt>
          <cx:pt idx="29">4.8399999999999999</cx:pt>
          <cx:pt idx="30">5.7599999999999998</cx:pt>
          <cx:pt idx="31">5.0999999999999996</cx:pt>
          <cx:pt idx="32">5.1200000000000001</cx:pt>
          <cx:pt idx="33">5.6100000000000003</cx:pt>
          <cx:pt idx="34">5.0999999999999996</cx:pt>
          <cx:pt idx="35">5.0700000000000003</cx:pt>
          <cx:pt idx="36">5.6299999999999999</cx:pt>
          <cx:pt idx="37">4.5099999999999998</cx:pt>
          <cx:pt idx="38">5.4000000000000004</cx:pt>
          <cx:pt idx="39">5.54</cx:pt>
          <cx:pt idx="40">5.2000000000000002</cx:pt>
          <cx:pt idx="41">4.4699999999999998</cx:pt>
          <cx:pt idx="42">4.4900000000000002</cx:pt>
          <cx:pt idx="43">7.0999999999999996</cx:pt>
          <cx:pt idx="44">4.4800000000000004</cx:pt>
          <cx:pt idx="45">5.6699999999999999</cx:pt>
          <cx:pt idx="46">5.25</cx:pt>
          <cx:pt idx="47">4.7199999999999998</cx:pt>
          <cx:pt idx="48">4.7599999999999998</cx:pt>
          <cx:pt idx="49">4.7300000000000004</cx:pt>
          <cx:pt idx="50">5.9900000000000002</cx:pt>
          <cx:pt idx="51">5.7199999999999998</cx:pt>
          <cx:pt idx="52">4.8700000000000001</cx:pt>
          <cx:pt idx="53">5.2400000000000002</cx:pt>
          <cx:pt idx="54">5.6399999999999997</cx:pt>
          <cx:pt idx="55">4.0199999999999996</cx:pt>
          <cx:pt idx="56">6.5499999999999998</cx:pt>
          <cx:pt idx="57">5.7000000000000002</cx:pt>
          <cx:pt idx="58">4.2699999999999996</cx:pt>
          <cx:pt idx="59">4.8200000000000003</cx:pt>
          <cx:pt idx="60">5.0999999999999996</cx:pt>
          <cx:pt idx="61">5.6299999999999999</cx:pt>
          <cx:pt idx="62">4.5</cx:pt>
          <cx:pt idx="63">4.2699999999999996</cx:pt>
          <cx:pt idx="64">5.04</cx:pt>
          <cx:pt idx="65">4.75</cx:pt>
          <cx:pt idx="66">4.0700000000000003</cx:pt>
          <cx:pt idx="67">4.7199999999999998</cx:pt>
          <cx:pt idx="68">5.6900000000000004</cx:pt>
          <cx:pt idx="69">4.9100000000000001</cx:pt>
          <cx:pt idx="70">4.7999999999999998</cx:pt>
          <cx:pt idx="71">5.6500000000000004</cx:pt>
          <cx:pt idx="72">5.1900000000000004</cx:pt>
          <cx:pt idx="73">5.21</cx:pt>
          <cx:pt idx="74">5.1299999999999999</cx:pt>
          <cx:pt idx="75">4.2000000000000002</cx:pt>
          <cx:pt idx="76">4.9199999999999999</cx:pt>
          <cx:pt idx="77">7.0999999999999996</cx:pt>
        </cx:lvl>
      </cx:numDim>
    </cx:data>
  </cx:chartData>
  <cx:chart>
    <cx:title pos="t" align="ctr" overlay="0">
      <cx:tx>
        <cx:txData>
          <cx:v>1-D Boxplot of BİLİM_ORAN</cx:v>
        </cx:txData>
      </cx:tx>
      <cx:txPr>
        <a:bodyPr spcFirstLastPara="1" vertOverflow="ellipsis" wrap="square" lIns="0" tIns="0" rIns="0" bIns="0" anchor="ctr" anchorCtr="1"/>
        <a:lstStyle/>
        <a:p>
          <a:pPr algn="ctr">
            <a:defRPr/>
          </a:pPr>
          <a:r>
            <a:rPr lang="en-US" baseline="0"/>
            <a:t>1-D Boxplot of BİLİM_ORAN</a:t>
          </a:r>
        </a:p>
      </cx:txPr>
    </cx:title>
    <cx:plotArea>
      <cx:plotAreaRegion>
        <cx:series layoutId="boxWhisker" uniqueId="{6D9AB021-EF39-4252-A43C-ABA572526A4C}">
          <cx:dataId val="0"/>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externalData r:id="rId1" cx:autoUpdate="0"/>
    <cx:data id="0">
      <cx:numDim type="val">
        <cx:lvl ptCount="78">
          <cx:pt idx="0">5.3300000000000001</cx:pt>
          <cx:pt idx="1">5.3399999999999999</cx:pt>
          <cx:pt idx="2">5.3300000000000001</cx:pt>
          <cx:pt idx="3">5.5499999999999998</cx:pt>
          <cx:pt idx="4">4.9299999999999997</cx:pt>
          <cx:pt idx="5">4.8099999999999996</cx:pt>
          <cx:pt idx="6">5.3600000000000003</cx:pt>
          <cx:pt idx="7">6.1799999999999997</cx:pt>
          <cx:pt idx="8">6.4100000000000001</cx:pt>
          <cx:pt idx="9">6.1600000000000001</cx:pt>
          <cx:pt idx="10">5.3499999999999996</cx:pt>
          <cx:pt idx="11">5.2400000000000002</cx:pt>
          <cx:pt idx="12">5.0599999999999996</cx:pt>
          <cx:pt idx="13">5.2800000000000002</cx:pt>
          <cx:pt idx="14">5.4900000000000002</cx:pt>
          <cx:pt idx="15">6.4299999999999997</cx:pt>
          <cx:pt idx="16">4.2699999999999996</cx:pt>
          <cx:pt idx="17">5.1900000000000004</cx:pt>
          <cx:pt idx="18">6.0899999999999999</cx:pt>
          <cx:pt idx="19">5.2400000000000002</cx:pt>
          <cx:pt idx="20">6.1699999999999999</cx:pt>
          <cx:pt idx="21">5.2699999999999996</cx:pt>
          <cx:pt idx="22">4.9199999999999999</cx:pt>
          <cx:pt idx="23">5.2699999999999996</cx:pt>
          <cx:pt idx="24">5.5700000000000003</cx:pt>
          <cx:pt idx="25">5.3099999999999996</cx:pt>
          <cx:pt idx="26">5.54</cx:pt>
          <cx:pt idx="27">5.7199999999999998</cx:pt>
          <cx:pt idx="28">5.1100000000000003</cx:pt>
          <cx:pt idx="29">4.8799999999999999</cx:pt>
          <cx:pt idx="30">5.7199999999999998</cx:pt>
          <cx:pt idx="31">5.54</cx:pt>
          <cx:pt idx="32">5.46</cx:pt>
          <cx:pt idx="33">5.1399999999999997</cx:pt>
          <cx:pt idx="34">5.3899999999999997</cx:pt>
          <cx:pt idx="35">5.1900000000000004</cx:pt>
          <cx:pt idx="36">5.2599999999999998</cx:pt>
          <cx:pt idx="37">4.5099999999999998</cx:pt>
          <cx:pt idx="38">4.7000000000000002</cx:pt>
          <cx:pt idx="39">5.0800000000000001</cx:pt>
          <cx:pt idx="40">4.96</cx:pt>
          <cx:pt idx="41">4.3799999999999999</cx:pt>
          <cx:pt idx="42">4.71</cx:pt>
          <cx:pt idx="43">7.3600000000000003</cx:pt>
          <cx:pt idx="44">4.4800000000000004</cx:pt>
          <cx:pt idx="45">5.3799999999999999</cx:pt>
          <cx:pt idx="46">5.3600000000000003</cx:pt>
          <cx:pt idx="47">4.7599999999999998</cx:pt>
          <cx:pt idx="48">4.5499999999999998</cx:pt>
          <cx:pt idx="49">4.4900000000000002</cx:pt>
          <cx:pt idx="50">5.8700000000000001</cx:pt>
          <cx:pt idx="51">4.7800000000000002</cx:pt>
          <cx:pt idx="52">4.6900000000000004</cx:pt>
          <cx:pt idx="53">4.8700000000000001</cx:pt>
          <cx:pt idx="54">4.7400000000000002</cx:pt>
          <cx:pt idx="55">3.73</cx:pt>
          <cx:pt idx="56">6.9100000000000001</cx:pt>
          <cx:pt idx="57">5.2999999999999998</cx:pt>
          <cx:pt idx="58">4.6299999999999999</cx:pt>
          <cx:pt idx="59">4.4500000000000002</cx:pt>
          <cx:pt idx="60">5.1600000000000001</cx:pt>
          <cx:pt idx="61">4.8300000000000001</cx:pt>
          <cx:pt idx="62">4.2199999999999998</cx:pt>
          <cx:pt idx="63">4.5499999999999998</cx:pt>
          <cx:pt idx="64">4.7400000000000002</cx:pt>
          <cx:pt idx="65">4.4900000000000002</cx:pt>
          <cx:pt idx="66">4.2199999999999998</cx:pt>
          <cx:pt idx="67">4.5700000000000003</cx:pt>
          <cx:pt idx="68">5.6699999999999999</cx:pt>
          <cx:pt idx="69">4.7400000000000002</cx:pt>
          <cx:pt idx="70">4.6399999999999997</cx:pt>
          <cx:pt idx="71">6.0499999999999998</cx:pt>
          <cx:pt idx="72">5.3300000000000001</cx:pt>
          <cx:pt idx="73">4.7699999999999996</cx:pt>
          <cx:pt idx="74">4.8200000000000003</cx:pt>
          <cx:pt idx="75">4.1200000000000001</cx:pt>
          <cx:pt idx="76">4.8899999999999997</cx:pt>
          <cx:pt idx="77">6.6299999999999999</cx:pt>
        </cx:lvl>
      </cx:numDim>
    </cx:data>
  </cx:chartData>
  <cx:chart>
    <cx:title pos="t" align="ctr" overlay="0">
      <cx:tx>
        <cx:txData>
          <cx:v>1-D Boxplot of MAT_ORAN</cx:v>
        </cx:txData>
      </cx:tx>
      <cx:txPr>
        <a:bodyPr spcFirstLastPara="1" vertOverflow="ellipsis" wrap="square" lIns="0" tIns="0" rIns="0" bIns="0" anchor="ctr" anchorCtr="1"/>
        <a:lstStyle/>
        <a:p>
          <a:pPr algn="ctr">
            <a:defRPr/>
          </a:pPr>
          <a:r>
            <a:rPr lang="en-US" baseline="0"/>
            <a:t>1-D Boxplot of MAT_ORAN</a:t>
          </a:r>
        </a:p>
      </cx:txPr>
    </cx:title>
    <cx:plotArea>
      <cx:plotAreaRegion>
        <cx:series layoutId="boxWhisker" uniqueId="{6D9AB021-EF39-4252-A43C-ABA572526A4C}">
          <cx:dataId val="0"/>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chart>
</cx:chartSpace>
</file>

<file path=xl/charts/chartEx13.xml><?xml version="1.0" encoding="utf-8"?>
<cx:chartSpace xmlns:a="http://schemas.openxmlformats.org/drawingml/2006/main" xmlns:r="http://schemas.openxmlformats.org/officeDocument/2006/relationships" xmlns:cx="http://schemas.microsoft.com/office/drawing/2014/chartex">
  <cx:chartData>
    <cx:externalData r:id="rId1" cx:autoUpdate="0"/>
    <cx:data id="0">
      <cx:numDim type="val">
        <cx:lvl ptCount="78">
          <cx:pt idx="0">60.799999999999997</cx:pt>
          <cx:pt idx="1">76.799999999999997</cx:pt>
          <cx:pt idx="2">78.5</cx:pt>
          <cx:pt idx="3">59.5</cx:pt>
          <cx:pt idx="4">70.799999999999997</cx:pt>
          <cx:pt idx="5">61.799999999999997</cx:pt>
          <cx:pt idx="6">72.400000000000006</cx:pt>
          <cx:pt idx="7">73</cx:pt>
          <cx:pt idx="8">67.799999999999997</cx:pt>
          <cx:pt idx="9">69.200000000000003</cx:pt>
          <cx:pt idx="10">65.299999999999997</cx:pt>
          <cx:pt idx="11">88.099999999999994</cx:pt>
          <cx:pt idx="12">68.5</cx:pt>
          <cx:pt idx="13">61.600000000000001</cx:pt>
          <cx:pt idx="14">70.900000000000006</cx:pt>
          <cx:pt idx="15">79.799999999999997</cx:pt>
          <cx:pt idx="16">73.700000000000003</cx:pt>
          <cx:pt idx="17">82.900000000000006</cx:pt>
          <cx:pt idx="18">81.5</cx:pt>
          <cx:pt idx="19">77.099999999999994</cx:pt>
          <cx:pt idx="20">65.900000000000006</cx:pt>
          <cx:pt idx="21">42.600000000000001</cx:pt>
          <cx:pt idx="22">70.099999999999994</cx:pt>
          <cx:pt idx="23">64.5</cx:pt>
          <cx:pt idx="24">91.599999999999994</cx:pt>
          <cx:pt idx="25">68.799999999999997</cx:pt>
          <cx:pt idx="26">58.299999999999997</cx:pt>
          <cx:pt idx="27">77.5</cx:pt>
          <cx:pt idx="28">65.099999999999994</cx:pt>
          <cx:pt idx="29">59.799999999999997</cx:pt>
          <cx:pt idx="30">61.299999999999997</cx:pt>
          <cx:pt idx="31">83.299999999999997</cx:pt>
          <cx:pt idx="32">61.399999999999999</cx:pt>
          <cx:pt idx="33">81.200000000000003</cx:pt>
          <cx:pt idx="34">63.5</cx:pt>
          <cx:pt idx="35">73.099999999999994</cx:pt>
          <cx:pt idx="36">57.5</cx:pt>
          <cx:pt idx="37">69.900000000000006</cx:pt>
          <cx:pt idx="38">61.899999999999999</cx:pt>
          <cx:pt idx="39">74.900000000000006</cx:pt>
          <cx:pt idx="40">53.799999999999997</cx:pt>
          <cx:pt idx="41">57.200000000000003</cx:pt>
          <cx:pt idx="42">76.5</cx:pt>
          <cx:pt idx="43">68.299999999999997</cx:pt>
          <cx:pt idx="44">77</cx:pt>
          <cx:pt idx="45">47.5</cx:pt>
          <cx:pt idx="46">63.399999999999999</cx:pt>
          <cx:pt idx="47">80.299999999999997</cx:pt>
          <cx:pt idx="48">83.900000000000006</cx:pt>
          <cx:pt idx="49">64.900000000000006</cx:pt>
          <cx:pt idx="50">57.100000000000001</cx:pt>
          <cx:pt idx="51">57.600000000000001</cx:pt>
          <cx:pt idx="52">74.5</cx:pt>
          <cx:pt idx="53">61.899999999999999</cx:pt>
          <cx:pt idx="54">52</cx:pt>
          <cx:pt idx="55">58.299999999999997</cx:pt>
          <cx:pt idx="56">57.700000000000003</cx:pt>
          <cx:pt idx="57">69.599999999999994</cx:pt>
          <cx:pt idx="58">70.099999999999994</cx:pt>
          <cx:pt idx="59">77.200000000000003</cx:pt>
          <cx:pt idx="60">49.200000000000003</cx:pt>
          <cx:pt idx="61">60</cx:pt>
          <cx:pt idx="62">47.200000000000003</cx:pt>
          <cx:pt idx="63">68.200000000000003</cx:pt>
          <cx:pt idx="64">47.5</cx:pt>
          <cx:pt idx="65">55.200000000000003</cx:pt>
          <cx:pt idx="66">52.799999999999997</cx:pt>
          <cx:pt idx="67">68.5</cx:pt>
          <cx:pt idx="68">49.600000000000001</cx:pt>
          <cx:pt idx="69">64.799999999999997</cx:pt>
          <cx:pt idx="70">70.400000000000006</cx:pt>
          <cx:pt idx="71">84.5</cx:pt>
          <cx:pt idx="72">63.299999999999997</cx:pt>
          <cx:pt idx="73">65.700000000000003</cx:pt>
          <cx:pt idx="74">53.899999999999999</cx:pt>
          <cx:pt idx="75">57.399999999999999</cx:pt>
          <cx:pt idx="76">73.099999999999994</cx:pt>
          <cx:pt idx="77">65.900000000000006</cx:pt>
        </cx:lvl>
      </cx:numDim>
    </cx:data>
  </cx:chartData>
  <cx:chart>
    <cx:title pos="t" align="ctr" overlay="0">
      <cx:tx>
        <cx:txData>
          <cx:v>1-D Boxplot of ERKEK_Günde_bir_kaç_kez</cx:v>
        </cx:txData>
      </cx:tx>
      <cx:txPr>
        <a:bodyPr spcFirstLastPara="1" vertOverflow="ellipsis" wrap="square" lIns="0" tIns="0" rIns="0" bIns="0" anchor="ctr" anchorCtr="1"/>
        <a:lstStyle/>
        <a:p>
          <a:pPr algn="ctr">
            <a:defRPr/>
          </a:pPr>
          <a:r>
            <a:rPr lang="en-US" baseline="0"/>
            <a:t>1-D Boxplot of ERKEK_Günde_bir_kaç_kez</a:t>
          </a:r>
        </a:p>
      </cx:txPr>
    </cx:title>
    <cx:plotArea>
      <cx:plotAreaRegion>
        <cx:series layoutId="boxWhisker" uniqueId="{6D9AB021-EF39-4252-A43C-ABA572526A4C}">
          <cx:dataId val="0"/>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chart>
</cx:chartSpace>
</file>

<file path=xl/charts/chartEx14.xml><?xml version="1.0" encoding="utf-8"?>
<cx:chartSpace xmlns:a="http://schemas.openxmlformats.org/drawingml/2006/main" xmlns:r="http://schemas.openxmlformats.org/officeDocument/2006/relationships" xmlns:cx="http://schemas.microsoft.com/office/drawing/2014/chartex">
  <cx:chartData>
    <cx:externalData r:id="rId1" cx:autoUpdate="0"/>
    <cx:data id="0">
      <cx:numDim type="val">
        <cx:lvl ptCount="78">
          <cx:pt idx="0">70.400000000000006</cx:pt>
          <cx:pt idx="1">90</cx:pt>
          <cx:pt idx="2">88.5</cx:pt>
          <cx:pt idx="3">69.5</cx:pt>
          <cx:pt idx="4">83.099999999999994</cx:pt>
          <cx:pt idx="5">72.700000000000003</cx:pt>
          <cx:pt idx="6">85.5</cx:pt>
          <cx:pt idx="7">80.599999999999994</cx:pt>
          <cx:pt idx="8">85.5</cx:pt>
          <cx:pt idx="9">80.799999999999997</cx:pt>
          <cx:pt idx="10">78.599999999999994</cx:pt>
          <cx:pt idx="11">93.700000000000003</cx:pt>
          <cx:pt idx="12">81.700000000000003</cx:pt>
          <cx:pt idx="13">69.799999999999997</cx:pt>
          <cx:pt idx="14">87.700000000000003</cx:pt>
          <cx:pt idx="15">90.400000000000006</cx:pt>
          <cx:pt idx="16">87.5</cx:pt>
          <cx:pt idx="17">93</cx:pt>
          <cx:pt idx="18">89.299999999999997</cx:pt>
          <cx:pt idx="19">88.700000000000003</cx:pt>
          <cx:pt idx="20">75.099999999999994</cx:pt>
          <cx:pt idx="21">46.399999999999999</cx:pt>
          <cx:pt idx="22">84.200000000000003</cx:pt>
          <cx:pt idx="23">74.700000000000003</cx:pt>
          <cx:pt idx="24">95.099999999999994</cx:pt>
          <cx:pt idx="25">79.900000000000006</cx:pt>
          <cx:pt idx="26">73</cx:pt>
          <cx:pt idx="27">89.299999999999997</cx:pt>
          <cx:pt idx="28">75.599999999999994</cx:pt>
          <cx:pt idx="29">73.799999999999997</cx:pt>
          <cx:pt idx="30">76.200000000000003</cx:pt>
          <cx:pt idx="31">91.799999999999997</cx:pt>
          <cx:pt idx="32">72.900000000000006</cx:pt>
          <cx:pt idx="33">89.799999999999997</cx:pt>
          <cx:pt idx="34">69.299999999999997</cx:pt>
          <cx:pt idx="35">82.200000000000003</cx:pt>
          <cx:pt idx="36">65.400000000000006</cx:pt>
          <cx:pt idx="37">80.599999999999994</cx:pt>
          <cx:pt idx="38">64.900000000000006</cx:pt>
          <cx:pt idx="39">84.200000000000003</cx:pt>
          <cx:pt idx="40">58.299999999999997</cx:pt>
          <cx:pt idx="41">69.700000000000003</cx:pt>
          <cx:pt idx="42">88.299999999999997</cx:pt>
          <cx:pt idx="43">79.200000000000003</cx:pt>
          <cx:pt idx="44">82</cx:pt>
          <cx:pt idx="45">41.299999999999997</cx:pt>
          <cx:pt idx="46">79</cx:pt>
          <cx:pt idx="47">87.400000000000006</cx:pt>
          <cx:pt idx="48">94.400000000000006</cx:pt>
          <cx:pt idx="49">80.799999999999997</cx:pt>
          <cx:pt idx="50">69.799999999999997</cx:pt>
          <cx:pt idx="51">70.299999999999997</cx:pt>
          <cx:pt idx="52">89.400000000000006</cx:pt>
          <cx:pt idx="53">71.700000000000003</cx:pt>
          <cx:pt idx="54">68.599999999999994</cx:pt>
          <cx:pt idx="55">70</cx:pt>
          <cx:pt idx="56">60.600000000000001</cx:pt>
          <cx:pt idx="57">84.799999999999997</cx:pt>
          <cx:pt idx="58">76.799999999999997</cx:pt>
          <cx:pt idx="59">90.5</cx:pt>
          <cx:pt idx="60">63.5</cx:pt>
          <cx:pt idx="61">68.400000000000006</cx:pt>
          <cx:pt idx="62">48.200000000000003</cx:pt>
          <cx:pt idx="63">75.900000000000006</cx:pt>
          <cx:pt idx="64">47.600000000000001</cx:pt>
          <cx:pt idx="65">64</cx:pt>
          <cx:pt idx="66">69.299999999999997</cx:pt>
          <cx:pt idx="67">79.5</cx:pt>
          <cx:pt idx="68">65.900000000000006</cx:pt>
          <cx:pt idx="69">76.599999999999994</cx:pt>
          <cx:pt idx="70">84.200000000000003</cx:pt>
          <cx:pt idx="71">91.099999999999994</cx:pt>
          <cx:pt idx="72">70.400000000000006</cx:pt>
          <cx:pt idx="73">79</cx:pt>
          <cx:pt idx="74">70.5</cx:pt>
          <cx:pt idx="75">73.299999999999997</cx:pt>
          <cx:pt idx="76">83</cx:pt>
          <cx:pt idx="77">66</cx:pt>
        </cx:lvl>
      </cx:numDim>
    </cx:data>
  </cx:chartData>
  <cx:chart>
    <cx:title pos="t" align="ctr" overlay="0">
      <cx:tx>
        <cx:txData>
          <cx:v>1-D Boxplot of KIZ_Günde_bir_kaç_kez</cx:v>
        </cx:txData>
      </cx:tx>
      <cx:txPr>
        <a:bodyPr spcFirstLastPara="1" vertOverflow="ellipsis" wrap="square" lIns="0" tIns="0" rIns="0" bIns="0" anchor="ctr" anchorCtr="1"/>
        <a:lstStyle/>
        <a:p>
          <a:pPr algn="ctr">
            <a:defRPr/>
          </a:pPr>
          <a:r>
            <a:rPr lang="en-US" baseline="0"/>
            <a:t>1-D Boxplot of KIZ_Günde_bir_kaç_kez</a:t>
          </a:r>
        </a:p>
      </cx:txPr>
    </cx:title>
    <cx:plotArea>
      <cx:plotAreaRegion>
        <cx:series layoutId="boxWhisker" uniqueId="{6D9AB021-EF39-4252-A43C-ABA572526A4C}">
          <cx:dataId val="0"/>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B9013EF-F3E4-426E-9E74-6FCCF5AAE887}">
  <sheetPr/>
  <sheetViews>
    <sheetView zoomScale="110"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hyperlink" Target="#ANKET!A1"/><Relationship Id="rId2" Type="http://schemas.openxmlformats.org/officeDocument/2006/relationships/hyperlink" Target="#LEVELLER!A1"/><Relationship Id="rId1" Type="http://schemas.openxmlformats.org/officeDocument/2006/relationships/hyperlink" Target="#KATILIM!A1"/><Relationship Id="rId5" Type="http://schemas.openxmlformats.org/officeDocument/2006/relationships/hyperlink" Target="#Sayfa14!A1"/><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hyperlink" Target="#KATILIM2!A1"/><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hyperlink" Target="#P&#304;SA!A1"/><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hyperlink" Target="#LEVELLER1!A1"/><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8" Type="http://schemas.microsoft.com/office/2014/relationships/chartEx" Target="../charts/chartEx8.xml"/><Relationship Id="rId3" Type="http://schemas.microsoft.com/office/2014/relationships/chartEx" Target="../charts/chartEx3.xml"/><Relationship Id="rId7" Type="http://schemas.microsoft.com/office/2014/relationships/chartEx" Target="../charts/chartEx7.xml"/><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6.xml"/><Relationship Id="rId5" Type="http://schemas.microsoft.com/office/2014/relationships/chartEx" Target="../charts/chartEx5.xml"/><Relationship Id="rId10" Type="http://schemas.openxmlformats.org/officeDocument/2006/relationships/hyperlink" Target="#ORTALAMALAR!A1"/><Relationship Id="rId4" Type="http://schemas.microsoft.com/office/2014/relationships/chartEx" Target="../charts/chartEx4.xml"/><Relationship Id="rId9" Type="http://schemas.microsoft.com/office/2014/relationships/chartEx" Target="../charts/chartEx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hyperlink" Target="#'ORTALAMALAR KORELASYON'!A1"/><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microsoft.com/office/2014/relationships/chartEx" Target="../charts/chartEx10.xml"/><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hyperlink" Target="#P&#304;SA!A1"/><Relationship Id="rId5" Type="http://schemas.microsoft.com/office/2014/relationships/chartEx" Target="../charts/chartEx12.xml"/><Relationship Id="rId4" Type="http://schemas.microsoft.com/office/2014/relationships/chartEx" Target="../charts/chartEx11.xml"/></Relationships>
</file>

<file path=xl/drawings/_rels/drawing9.xml.rels><?xml version="1.0" encoding="UTF-8" standalone="yes"?>
<Relationships xmlns="http://schemas.openxmlformats.org/package/2006/relationships"><Relationship Id="rId3" Type="http://schemas.microsoft.com/office/2014/relationships/chartEx" Target="../charts/chartEx14.xml"/><Relationship Id="rId2" Type="http://schemas.microsoft.com/office/2014/relationships/chartEx" Target="../charts/chartEx13.xml"/><Relationship Id="rId1" Type="http://schemas.openxmlformats.org/officeDocument/2006/relationships/hyperlink" Target="#ANKET2!A1"/></Relationships>
</file>

<file path=xl/drawings/_rels/drawing10.xml.rels><?xml version="1.0" encoding="UTF-8" standalone="yes"?>
<Relationships xmlns="http://schemas.openxmlformats.org/package/2006/relationships"><Relationship Id="rId2" Type="http://schemas.openxmlformats.org/officeDocument/2006/relationships/hyperlink" Target="#'ANKET2 TESTLER(EKS&#304;K_KISIM)'!A1"/><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hyperlink" Target="#P&#304;SA!A1"/></Relationships>
</file>

<file path=xl/drawings/_rels/drawing12.xml.rels><?xml version="1.0" encoding="UTF-8" standalone="yes"?>
<Relationships xmlns="http://schemas.openxmlformats.org/package/2006/relationships"><Relationship Id="rId2" Type="http://schemas.openxmlformats.org/officeDocument/2006/relationships/hyperlink" Target="#Sayfa16!A1"/><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2" Type="http://schemas.openxmlformats.org/officeDocument/2006/relationships/hyperlink" Target="#P&#304;SA!A1"/><Relationship Id="rId1"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absoluteAnchor>
    <xdr:pos x="0" y="0"/>
    <xdr:ext cx="9289473" cy="6061364"/>
    <xdr:graphicFrame macro="">
      <xdr:nvGraphicFramePr>
        <xdr:cNvPr id="2" name="Grafik 1">
          <a:extLst>
            <a:ext uri="{FF2B5EF4-FFF2-40B4-BE49-F238E27FC236}">
              <a16:creationId xmlns:a16="http://schemas.microsoft.com/office/drawing/2014/main" id="{00000000-0008-0000-0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1</xdr:col>
      <xdr:colOff>387927</xdr:colOff>
      <xdr:row>7</xdr:row>
      <xdr:rowOff>166255</xdr:rowOff>
    </xdr:from>
    <xdr:to>
      <xdr:col>8</xdr:col>
      <xdr:colOff>304800</xdr:colOff>
      <xdr:row>19</xdr:row>
      <xdr:rowOff>96982</xdr:rowOff>
    </xdr:to>
    <xdr:sp macro="" textlink="">
      <xdr:nvSpPr>
        <xdr:cNvPr id="2" name="Ok: Sağ 1">
          <a:extLst>
            <a:ext uri="{FF2B5EF4-FFF2-40B4-BE49-F238E27FC236}">
              <a16:creationId xmlns:a16="http://schemas.microsoft.com/office/drawing/2014/main" id="{00000000-0008-0000-0100-000002000000}"/>
            </a:ext>
          </a:extLst>
        </xdr:cNvPr>
        <xdr:cNvSpPr/>
      </xdr:nvSpPr>
      <xdr:spPr>
        <a:xfrm>
          <a:off x="997527" y="1427019"/>
          <a:ext cx="4184073" cy="2092036"/>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2400" b="1"/>
            <a:t>PİSA KATILIM</a:t>
          </a:r>
          <a:r>
            <a:rPr lang="tr-TR" sz="2400" b="1" baseline="0"/>
            <a:t> VERİLERİNİN    İNCELENMESİ</a:t>
          </a:r>
        </a:p>
        <a:p>
          <a:pPr algn="l"/>
          <a:endParaRPr lang="tr-TR" sz="4000"/>
        </a:p>
      </xdr:txBody>
    </xdr:sp>
    <xdr:clientData/>
  </xdr:twoCellAnchor>
  <xdr:twoCellAnchor>
    <xdr:from>
      <xdr:col>1</xdr:col>
      <xdr:colOff>332508</xdr:colOff>
      <xdr:row>23</xdr:row>
      <xdr:rowOff>13855</xdr:rowOff>
    </xdr:from>
    <xdr:to>
      <xdr:col>8</xdr:col>
      <xdr:colOff>249381</xdr:colOff>
      <xdr:row>34</xdr:row>
      <xdr:rowOff>124691</xdr:rowOff>
    </xdr:to>
    <xdr:sp macro="" textlink="">
      <xdr:nvSpPr>
        <xdr:cNvPr id="3" name="Ok: Sağ 2">
          <a:extLst>
            <a:ext uri="{FF2B5EF4-FFF2-40B4-BE49-F238E27FC236}">
              <a16:creationId xmlns:a16="http://schemas.microsoft.com/office/drawing/2014/main" id="{00000000-0008-0000-0100-000003000000}"/>
            </a:ext>
          </a:extLst>
        </xdr:cNvPr>
        <xdr:cNvSpPr/>
      </xdr:nvSpPr>
      <xdr:spPr>
        <a:xfrm>
          <a:off x="942108" y="4156364"/>
          <a:ext cx="4184073" cy="2092036"/>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600" b="1"/>
            <a:t>ÖGRENCİLERİN ÜLKELERE</a:t>
          </a:r>
          <a:r>
            <a:rPr lang="tr-TR" sz="1600" b="1" baseline="0"/>
            <a:t> GÖRE OKUMA, MATEMATİK BİLİM DERSLERİNDE Kİ BAŞARI ORTALAMALARI</a:t>
          </a:r>
        </a:p>
        <a:p>
          <a:pPr algn="l"/>
          <a:endParaRPr lang="tr-TR" sz="1100"/>
        </a:p>
      </xdr:txBody>
    </xdr:sp>
    <xdr:clientData/>
  </xdr:twoCellAnchor>
  <xdr:twoCellAnchor>
    <xdr:from>
      <xdr:col>1</xdr:col>
      <xdr:colOff>360218</xdr:colOff>
      <xdr:row>37</xdr:row>
      <xdr:rowOff>96982</xdr:rowOff>
    </xdr:from>
    <xdr:to>
      <xdr:col>8</xdr:col>
      <xdr:colOff>277091</xdr:colOff>
      <xdr:row>49</xdr:row>
      <xdr:rowOff>27709</xdr:rowOff>
    </xdr:to>
    <xdr:sp macro="" textlink="">
      <xdr:nvSpPr>
        <xdr:cNvPr id="4" name="Ok: Sağ 3">
          <a:extLst>
            <a:ext uri="{FF2B5EF4-FFF2-40B4-BE49-F238E27FC236}">
              <a16:creationId xmlns:a16="http://schemas.microsoft.com/office/drawing/2014/main" id="{00000000-0008-0000-0100-000004000000}"/>
            </a:ext>
          </a:extLst>
        </xdr:cNvPr>
        <xdr:cNvSpPr/>
      </xdr:nvSpPr>
      <xdr:spPr>
        <a:xfrm>
          <a:off x="969818" y="6761018"/>
          <a:ext cx="4184073" cy="2092036"/>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2400" b="1"/>
            <a:t>ÖGRENCİLERİN</a:t>
          </a:r>
          <a:r>
            <a:rPr lang="tr-TR" sz="2400" b="1" baseline="0"/>
            <a:t> </a:t>
          </a:r>
          <a:r>
            <a:rPr lang="tr-TR" sz="2400" b="1">
              <a:solidFill>
                <a:schemeClr val="lt1"/>
              </a:solidFill>
              <a:latin typeface="+mn-lt"/>
              <a:ea typeface="+mn-ea"/>
              <a:cs typeface="+mn-cs"/>
            </a:rPr>
            <a:t>ANKETLERE</a:t>
          </a:r>
          <a:r>
            <a:rPr lang="tr-TR" sz="2400" b="1" baseline="0"/>
            <a:t> VERDİKLERİ CEVAPLAR</a:t>
          </a:r>
          <a:endParaRPr lang="tr-TR" sz="2400" b="1"/>
        </a:p>
      </xdr:txBody>
    </xdr:sp>
    <xdr:clientData/>
  </xdr:twoCellAnchor>
  <xdr:twoCellAnchor>
    <xdr:from>
      <xdr:col>10</xdr:col>
      <xdr:colOff>41563</xdr:colOff>
      <xdr:row>10</xdr:row>
      <xdr:rowOff>166255</xdr:rowOff>
    </xdr:from>
    <xdr:to>
      <xdr:col>14</xdr:col>
      <xdr:colOff>0</xdr:colOff>
      <xdr:row>16</xdr:row>
      <xdr:rowOff>124692</xdr:rowOff>
    </xdr:to>
    <xdr:sp macro="" textlink="">
      <xdr:nvSpPr>
        <xdr:cNvPr id="5" name="Dikdörtgen: Eğimli 4">
          <a:hlinkClick xmlns:r="http://schemas.openxmlformats.org/officeDocument/2006/relationships" r:id="rId1"/>
          <a:extLst>
            <a:ext uri="{FF2B5EF4-FFF2-40B4-BE49-F238E27FC236}">
              <a16:creationId xmlns:a16="http://schemas.microsoft.com/office/drawing/2014/main" id="{00000000-0008-0000-0100-000005000000}"/>
            </a:ext>
          </a:extLst>
        </xdr:cNvPr>
        <xdr:cNvSpPr/>
      </xdr:nvSpPr>
      <xdr:spPr>
        <a:xfrm>
          <a:off x="6137563" y="1967346"/>
          <a:ext cx="2396837" cy="103909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tr-TR" sz="1100"/>
        </a:p>
      </xdr:txBody>
    </xdr:sp>
    <xdr:clientData/>
  </xdr:twoCellAnchor>
  <xdr:twoCellAnchor>
    <xdr:from>
      <xdr:col>10</xdr:col>
      <xdr:colOff>69273</xdr:colOff>
      <xdr:row>25</xdr:row>
      <xdr:rowOff>83128</xdr:rowOff>
    </xdr:from>
    <xdr:to>
      <xdr:col>14</xdr:col>
      <xdr:colOff>27710</xdr:colOff>
      <xdr:row>31</xdr:row>
      <xdr:rowOff>41564</xdr:rowOff>
    </xdr:to>
    <xdr:sp macro="" textlink="">
      <xdr:nvSpPr>
        <xdr:cNvPr id="6" name="Dikdörtgen: Eğimli 5">
          <a:hlinkClick xmlns:r="http://schemas.openxmlformats.org/officeDocument/2006/relationships" r:id="rId2"/>
          <a:extLst>
            <a:ext uri="{FF2B5EF4-FFF2-40B4-BE49-F238E27FC236}">
              <a16:creationId xmlns:a16="http://schemas.microsoft.com/office/drawing/2014/main" id="{00000000-0008-0000-0100-000006000000}"/>
            </a:ext>
          </a:extLst>
        </xdr:cNvPr>
        <xdr:cNvSpPr/>
      </xdr:nvSpPr>
      <xdr:spPr>
        <a:xfrm>
          <a:off x="6165273" y="4585855"/>
          <a:ext cx="2396837" cy="103909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tr-TR" sz="1100"/>
        </a:p>
      </xdr:txBody>
    </xdr:sp>
    <xdr:clientData/>
  </xdr:twoCellAnchor>
  <xdr:twoCellAnchor>
    <xdr:from>
      <xdr:col>10</xdr:col>
      <xdr:colOff>110836</xdr:colOff>
      <xdr:row>40</xdr:row>
      <xdr:rowOff>41563</xdr:rowOff>
    </xdr:from>
    <xdr:to>
      <xdr:col>14</xdr:col>
      <xdr:colOff>69273</xdr:colOff>
      <xdr:row>46</xdr:row>
      <xdr:rowOff>0</xdr:rowOff>
    </xdr:to>
    <xdr:sp macro="" textlink="">
      <xdr:nvSpPr>
        <xdr:cNvPr id="7" name="Dikdörtgen: Eğimli 6">
          <a:hlinkClick xmlns:r="http://schemas.openxmlformats.org/officeDocument/2006/relationships" r:id="rId3"/>
          <a:extLst>
            <a:ext uri="{FF2B5EF4-FFF2-40B4-BE49-F238E27FC236}">
              <a16:creationId xmlns:a16="http://schemas.microsoft.com/office/drawing/2014/main" id="{00000000-0008-0000-0100-000007000000}"/>
            </a:ext>
          </a:extLst>
        </xdr:cNvPr>
        <xdr:cNvSpPr/>
      </xdr:nvSpPr>
      <xdr:spPr>
        <a:xfrm>
          <a:off x="6206836" y="7245927"/>
          <a:ext cx="2396837" cy="103909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tr-TR" sz="1100"/>
        </a:p>
      </xdr:txBody>
    </xdr:sp>
    <xdr:clientData/>
  </xdr:twoCellAnchor>
  <xdr:twoCellAnchor editAs="oneCell">
    <xdr:from>
      <xdr:col>16</xdr:col>
      <xdr:colOff>235526</xdr:colOff>
      <xdr:row>2</xdr:row>
      <xdr:rowOff>152399</xdr:rowOff>
    </xdr:from>
    <xdr:to>
      <xdr:col>41</xdr:col>
      <xdr:colOff>498763</xdr:colOff>
      <xdr:row>57</xdr:row>
      <xdr:rowOff>171288</xdr:rowOff>
    </xdr:to>
    <xdr:pic>
      <xdr:nvPicPr>
        <xdr:cNvPr id="8" name="Resim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89126" y="512617"/>
          <a:ext cx="15503237" cy="99248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13855</xdr:colOff>
      <xdr:row>57</xdr:row>
      <xdr:rowOff>166255</xdr:rowOff>
    </xdr:from>
    <xdr:to>
      <xdr:col>12</xdr:col>
      <xdr:colOff>27709</xdr:colOff>
      <xdr:row>66</xdr:row>
      <xdr:rowOff>166255</xdr:rowOff>
    </xdr:to>
    <xdr:sp macro="" textlink="">
      <xdr:nvSpPr>
        <xdr:cNvPr id="9" name="Dikdörtgen: Eğimli 8">
          <a:hlinkClick xmlns:r="http://schemas.openxmlformats.org/officeDocument/2006/relationships" r:id="rId5"/>
          <a:extLst>
            <a:ext uri="{FF2B5EF4-FFF2-40B4-BE49-F238E27FC236}">
              <a16:creationId xmlns:a16="http://schemas.microsoft.com/office/drawing/2014/main" id="{00000000-0008-0000-0100-000009000000}"/>
            </a:ext>
          </a:extLst>
        </xdr:cNvPr>
        <xdr:cNvSpPr/>
      </xdr:nvSpPr>
      <xdr:spPr>
        <a:xfrm>
          <a:off x="1233055" y="10432473"/>
          <a:ext cx="6109854" cy="1620982"/>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4400" b="1"/>
            <a:t>    SÜRPRİZ GRAFİKLER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10</xdr:row>
      <xdr:rowOff>10886</xdr:rowOff>
    </xdr:from>
    <xdr:to>
      <xdr:col>9</xdr:col>
      <xdr:colOff>10886</xdr:colOff>
      <xdr:row>27</xdr:row>
      <xdr:rowOff>152399</xdr:rowOff>
    </xdr:to>
    <xdr:sp macro="" textlink="">
      <xdr:nvSpPr>
        <xdr:cNvPr id="2" name="Dikdörtgen 1">
          <a:extLst>
            <a:ext uri="{FF2B5EF4-FFF2-40B4-BE49-F238E27FC236}">
              <a16:creationId xmlns:a16="http://schemas.microsoft.com/office/drawing/2014/main" id="{00000000-0008-0000-0200-000002000000}"/>
            </a:ext>
          </a:extLst>
        </xdr:cNvPr>
        <xdr:cNvSpPr/>
      </xdr:nvSpPr>
      <xdr:spPr>
        <a:xfrm>
          <a:off x="3265714" y="2209800"/>
          <a:ext cx="5606143" cy="3287485"/>
        </a:xfrm>
        <a:prstGeom prst="rect">
          <a:avLst/>
        </a:prstGeom>
        <a:solidFill>
          <a:schemeClr val="tx1">
            <a:lumMod val="50000"/>
            <a:lumOff val="50000"/>
          </a:schemeClr>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tr-TR" sz="1600"/>
            <a:t>PİSA</a:t>
          </a:r>
          <a:r>
            <a:rPr lang="tr-TR" sz="1600" baseline="0"/>
            <a:t> ARAŞTIRMASINA KATILAN ÜLKELERİN TOPLAM 15 YAŞINDAKİ ÖGRENCİ NUFUSLARI, KATILAN ÖGRENCİ SAYISI VE BU İKİSİNİN ORANLARININ VERİDĞİ TABLOYU GÖRÜYORUZ.</a:t>
          </a:r>
        </a:p>
        <a:p>
          <a:pPr algn="l"/>
          <a:r>
            <a:rPr lang="tr-TR" sz="1600" baseline="0"/>
            <a:t>STATİSTİCS DE VERİNİN NORMAL DAĞILMADIĞINI KOLAYLIKLA GÖREBİLİRİZ AZATEN HER ÜLKENİN NUFUSUNUN NORMAL DAĞILMASINI BEKLEYEMEYİZ.</a:t>
          </a:r>
        </a:p>
        <a:p>
          <a:pPr algn="l"/>
          <a:r>
            <a:rPr lang="tr-TR" sz="1600" baseline="0"/>
            <a:t>MİNUMUM VE MAKSİUMUM DEĞERLERİNİDE GÖREBİLİRİZ </a:t>
          </a:r>
        </a:p>
        <a:p>
          <a:pPr algn="l"/>
          <a:r>
            <a:rPr lang="tr-TR" sz="1600" baseline="0"/>
            <a:t>MALTA ÖGRENCİ  NUFUSU: 4039</a:t>
          </a:r>
        </a:p>
        <a:p>
          <a:pPr algn="l"/>
          <a:r>
            <a:rPr lang="tr-TR" sz="1600" baseline="0"/>
            <a:t>ENDONEZYA ÖGRENCİ NUFUSU: 4439086</a:t>
          </a:r>
        </a:p>
        <a:p>
          <a:pPr algn="l"/>
          <a:endParaRPr lang="tr-TR" sz="1100" baseline="0"/>
        </a:p>
      </xdr:txBody>
    </xdr:sp>
    <xdr:clientData/>
  </xdr:twoCellAnchor>
  <xdr:twoCellAnchor>
    <xdr:from>
      <xdr:col>10</xdr:col>
      <xdr:colOff>261255</xdr:colOff>
      <xdr:row>0</xdr:row>
      <xdr:rowOff>506187</xdr:rowOff>
    </xdr:from>
    <xdr:to>
      <xdr:col>25</xdr:col>
      <xdr:colOff>457200</xdr:colOff>
      <xdr:row>26</xdr:row>
      <xdr:rowOff>174172</xdr:rowOff>
    </xdr:to>
    <xdr:graphicFrame macro="">
      <xdr:nvGraphicFramePr>
        <xdr:cNvPr id="5" name="Grafik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468085</xdr:colOff>
      <xdr:row>28</xdr:row>
      <xdr:rowOff>174172</xdr:rowOff>
    </xdr:from>
    <xdr:to>
      <xdr:col>8</xdr:col>
      <xdr:colOff>1125187</xdr:colOff>
      <xdr:row>40</xdr:row>
      <xdr:rowOff>45522</xdr:rowOff>
    </xdr:to>
    <xdr:sp macro="" textlink="">
      <xdr:nvSpPr>
        <xdr:cNvPr id="6" name="Ok: Sağ 5">
          <a:extLst>
            <a:ext uri="{FF2B5EF4-FFF2-40B4-BE49-F238E27FC236}">
              <a16:creationId xmlns:a16="http://schemas.microsoft.com/office/drawing/2014/main" id="{00000000-0008-0000-0200-000006000000}"/>
            </a:ext>
          </a:extLst>
        </xdr:cNvPr>
        <xdr:cNvSpPr/>
      </xdr:nvSpPr>
      <xdr:spPr>
        <a:xfrm>
          <a:off x="4659085" y="5704115"/>
          <a:ext cx="4184073" cy="2092036"/>
        </a:xfrm>
        <a:prstGeom prst="rightArrow">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2400" b="1"/>
            <a:t>DEVAMI</a:t>
          </a:r>
          <a:r>
            <a:rPr lang="tr-TR" sz="2400" b="1" baseline="0"/>
            <a:t> İÇİN TIKLA</a:t>
          </a:r>
        </a:p>
        <a:p>
          <a:pPr algn="l"/>
          <a:r>
            <a:rPr lang="tr-TR" sz="2400" b="1" baseline="0"/>
            <a:t>YILLAR KATILIM</a:t>
          </a:r>
        </a:p>
        <a:p>
          <a:pPr algn="l"/>
          <a:endParaRPr lang="tr-TR" sz="4000"/>
        </a:p>
      </xdr:txBody>
    </xdr:sp>
    <xdr:clientData/>
  </xdr:twoCellAnchor>
  <xdr:twoCellAnchor>
    <xdr:from>
      <xdr:col>11</xdr:col>
      <xdr:colOff>1979</xdr:colOff>
      <xdr:row>31</xdr:row>
      <xdr:rowOff>137556</xdr:rowOff>
    </xdr:from>
    <xdr:to>
      <xdr:col>14</xdr:col>
      <xdr:colOff>570016</xdr:colOff>
      <xdr:row>37</xdr:row>
      <xdr:rowOff>66304</xdr:rowOff>
    </xdr:to>
    <xdr:sp macro="" textlink="">
      <xdr:nvSpPr>
        <xdr:cNvPr id="7" name="Dikdörtgen: Eğimli 6">
          <a:hlinkClick xmlns:r="http://schemas.openxmlformats.org/officeDocument/2006/relationships" r:id="rId2"/>
          <a:extLst>
            <a:ext uri="{FF2B5EF4-FFF2-40B4-BE49-F238E27FC236}">
              <a16:creationId xmlns:a16="http://schemas.microsoft.com/office/drawing/2014/main" id="{00000000-0008-0000-0200-000007000000}"/>
            </a:ext>
          </a:extLst>
        </xdr:cNvPr>
        <xdr:cNvSpPr/>
      </xdr:nvSpPr>
      <xdr:spPr>
        <a:xfrm>
          <a:off x="11007436" y="6222670"/>
          <a:ext cx="2396837" cy="1039091"/>
        </a:xfrm>
        <a:prstGeom prst="bevel">
          <a:avLst/>
        </a:prstGeom>
        <a:solidFill>
          <a:schemeClr val="tx1">
            <a:lumMod val="65000"/>
            <a:lumOff val="3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tr-TR"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15240</xdr:colOff>
          <xdr:row>2</xdr:row>
          <xdr:rowOff>53340</xdr:rowOff>
        </xdr:from>
        <xdr:to>
          <xdr:col>8</xdr:col>
          <xdr:colOff>236220</xdr:colOff>
          <xdr:row>25</xdr:row>
          <xdr:rowOff>30480</xdr:rowOff>
        </xdr:to>
        <xdr:sp macro="" textlink="">
          <xdr:nvSpPr>
            <xdr:cNvPr id="3073" name="ListBox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8</xdr:col>
      <xdr:colOff>452717</xdr:colOff>
      <xdr:row>1</xdr:row>
      <xdr:rowOff>147918</xdr:rowOff>
    </xdr:from>
    <xdr:to>
      <xdr:col>24</xdr:col>
      <xdr:colOff>35858</xdr:colOff>
      <xdr:row>25</xdr:row>
      <xdr:rowOff>89647</xdr:rowOff>
    </xdr:to>
    <xdr:graphicFrame macro="">
      <xdr:nvGraphicFramePr>
        <xdr:cNvPr id="2" name="Grafik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179294</xdr:colOff>
      <xdr:row>26</xdr:row>
      <xdr:rowOff>152400</xdr:rowOff>
    </xdr:from>
    <xdr:to>
      <xdr:col>20</xdr:col>
      <xdr:colOff>448235</xdr:colOff>
      <xdr:row>33</xdr:row>
      <xdr:rowOff>62752</xdr:rowOff>
    </xdr:to>
    <xdr:sp macro="" textlink="">
      <xdr:nvSpPr>
        <xdr:cNvPr id="3" name="Dikdörtgen: Eğimli 2">
          <a:hlinkClick xmlns:r="http://schemas.openxmlformats.org/officeDocument/2006/relationships" r:id="rId2"/>
          <a:extLst>
            <a:ext uri="{FF2B5EF4-FFF2-40B4-BE49-F238E27FC236}">
              <a16:creationId xmlns:a16="http://schemas.microsoft.com/office/drawing/2014/main" id="{00000000-0008-0000-0300-000003000000}"/>
            </a:ext>
          </a:extLst>
        </xdr:cNvPr>
        <xdr:cNvSpPr/>
      </xdr:nvSpPr>
      <xdr:spPr>
        <a:xfrm>
          <a:off x="6884894" y="4814047"/>
          <a:ext cx="5755341" cy="1165411"/>
        </a:xfrm>
        <a:prstGeom prst="bevel">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4400"/>
            <a:t>     ANA SAYFAYA</a:t>
          </a:r>
          <a:r>
            <a:rPr lang="tr-TR" sz="4400" baseline="0"/>
            <a:t> DÖN</a:t>
          </a:r>
          <a:endParaRPr lang="tr-TR" sz="44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251460</xdr:colOff>
          <xdr:row>0</xdr:row>
          <xdr:rowOff>30480</xdr:rowOff>
        </xdr:from>
        <xdr:to>
          <xdr:col>27</xdr:col>
          <xdr:colOff>426720</xdr:colOff>
          <xdr:row>37</xdr:row>
          <xdr:rowOff>137160</xdr:rowOff>
        </xdr:to>
        <xdr:sp macro="" textlink="">
          <xdr:nvSpPr>
            <xdr:cNvPr id="4097" name="ListBox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28</xdr:col>
      <xdr:colOff>110837</xdr:colOff>
      <xdr:row>0</xdr:row>
      <xdr:rowOff>96982</xdr:rowOff>
    </xdr:from>
    <xdr:to>
      <xdr:col>46</xdr:col>
      <xdr:colOff>1</xdr:colOff>
      <xdr:row>17</xdr:row>
      <xdr:rowOff>41562</xdr:rowOff>
    </xdr:to>
    <xdr:graphicFrame macro="">
      <xdr:nvGraphicFramePr>
        <xdr:cNvPr id="2" name="Grafik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554182</xdr:colOff>
      <xdr:row>36</xdr:row>
      <xdr:rowOff>27709</xdr:rowOff>
    </xdr:from>
    <xdr:to>
      <xdr:col>46</xdr:col>
      <xdr:colOff>41565</xdr:colOff>
      <xdr:row>53</xdr:row>
      <xdr:rowOff>41563</xdr:rowOff>
    </xdr:to>
    <xdr:graphicFrame macro="">
      <xdr:nvGraphicFramePr>
        <xdr:cNvPr id="3" name="Grafik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207818</xdr:colOff>
      <xdr:row>40</xdr:row>
      <xdr:rowOff>124690</xdr:rowOff>
    </xdr:from>
    <xdr:to>
      <xdr:col>19</xdr:col>
      <xdr:colOff>332509</xdr:colOff>
      <xdr:row>50</xdr:row>
      <xdr:rowOff>13854</xdr:rowOff>
    </xdr:to>
    <xdr:sp macro="" textlink="">
      <xdr:nvSpPr>
        <xdr:cNvPr id="6" name="Dikdörtgen: Eğimli 5">
          <a:hlinkClick xmlns:r="http://schemas.openxmlformats.org/officeDocument/2006/relationships" r:id="rId3"/>
          <a:extLst>
            <a:ext uri="{FF2B5EF4-FFF2-40B4-BE49-F238E27FC236}">
              <a16:creationId xmlns:a16="http://schemas.microsoft.com/office/drawing/2014/main" id="{00000000-0008-0000-0400-000006000000}"/>
            </a:ext>
          </a:extLst>
        </xdr:cNvPr>
        <xdr:cNvSpPr/>
      </xdr:nvSpPr>
      <xdr:spPr>
        <a:xfrm>
          <a:off x="1731818" y="7329054"/>
          <a:ext cx="8839200" cy="1690255"/>
        </a:xfrm>
        <a:prstGeom prst="bevel">
          <a:avLst/>
        </a:prstGeom>
        <a:solidFill>
          <a:schemeClr val="bg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5400"/>
            <a:t>     DEVAMI İÇİN TIKLAYINIZ</a:t>
          </a:r>
        </a:p>
      </xdr:txBody>
    </xdr:sp>
    <xdr:clientData/>
  </xdr:twoCellAnchor>
  <xdr:twoCellAnchor>
    <xdr:from>
      <xdr:col>27</xdr:col>
      <xdr:colOff>540327</xdr:colOff>
      <xdr:row>0</xdr:row>
      <xdr:rowOff>55419</xdr:rowOff>
    </xdr:from>
    <xdr:to>
      <xdr:col>46</xdr:col>
      <xdr:colOff>41565</xdr:colOff>
      <xdr:row>17</xdr:row>
      <xdr:rowOff>27708</xdr:rowOff>
    </xdr:to>
    <xdr:graphicFrame macro="">
      <xdr:nvGraphicFramePr>
        <xdr:cNvPr id="7" name="Grafik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554183</xdr:colOff>
      <xdr:row>18</xdr:row>
      <xdr:rowOff>96981</xdr:rowOff>
    </xdr:from>
    <xdr:to>
      <xdr:col>46</xdr:col>
      <xdr:colOff>41566</xdr:colOff>
      <xdr:row>35</xdr:row>
      <xdr:rowOff>55417</xdr:rowOff>
    </xdr:to>
    <xdr:graphicFrame macro="">
      <xdr:nvGraphicFramePr>
        <xdr:cNvPr id="8" name="Grafik 7">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10</xdr:col>
      <xdr:colOff>0</xdr:colOff>
      <xdr:row>0</xdr:row>
      <xdr:rowOff>1</xdr:rowOff>
    </xdr:from>
    <xdr:to>
      <xdr:col>14</xdr:col>
      <xdr:colOff>381000</xdr:colOff>
      <xdr:row>7</xdr:row>
      <xdr:rowOff>163287</xdr:rowOff>
    </xdr:to>
    <mc:AlternateContent xmlns:mc="http://schemas.openxmlformats.org/markup-compatibility/2006">
      <mc:Choice xmlns:cx1="http://schemas.microsoft.com/office/drawing/2015/9/8/chartex" Requires="cx1">
        <xdr:graphicFrame macro="">
          <xdr:nvGraphicFramePr>
            <xdr:cNvPr id="2" name="Chart 9">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332220" y="1"/>
              <a:ext cx="3566160" cy="1443446"/>
            </a:xfrm>
            <a:prstGeom prst="rect">
              <a:avLst/>
            </a:prstGeom>
            <a:solidFill>
              <a:prstClr val="white"/>
            </a:solidFill>
            <a:ln w="1">
              <a:solidFill>
                <a:prstClr val="green"/>
              </a:solidFill>
            </a:ln>
          </xdr:spPr>
          <xdr:txBody>
            <a:bodyPr vertOverflow="clip" horzOverflow="clip"/>
            <a:lstStyle/>
            <a:p>
              <a:r>
                <a:rPr lang="tr-TR" sz="1100"/>
                <a:t>Bu grafik, Excel sürümünüzde kullanılamaz.
Bu şekli düzenlemek veya bu çalışma kitabını farklı bir dosya biçiminde kaydetmek grafiğin kalıcı olarak bozulmasına neden olur.</a:t>
              </a:r>
            </a:p>
          </xdr:txBody>
        </xdr:sp>
      </mc:Fallback>
    </mc:AlternateContent>
    <xdr:clientData/>
  </xdr:twoCellAnchor>
  <xdr:twoCellAnchor>
    <xdr:from>
      <xdr:col>15</xdr:col>
      <xdr:colOff>217713</xdr:colOff>
      <xdr:row>0</xdr:row>
      <xdr:rowOff>0</xdr:rowOff>
    </xdr:from>
    <xdr:to>
      <xdr:col>20</xdr:col>
      <xdr:colOff>163285</xdr:colOff>
      <xdr:row>7</xdr:row>
      <xdr:rowOff>163285</xdr:rowOff>
    </xdr:to>
    <mc:AlternateContent xmlns:mc="http://schemas.openxmlformats.org/markup-compatibility/2006">
      <mc:Choice xmlns:cx1="http://schemas.microsoft.com/office/drawing/2015/9/8/chartex" Requires="cx1">
        <xdr:graphicFrame macro="">
          <xdr:nvGraphicFramePr>
            <xdr:cNvPr id="3" name="Chart 9">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0344693" y="0"/>
              <a:ext cx="4136572" cy="1443445"/>
            </a:xfrm>
            <a:prstGeom prst="rect">
              <a:avLst/>
            </a:prstGeom>
            <a:solidFill>
              <a:prstClr val="white"/>
            </a:solidFill>
            <a:ln w="1">
              <a:solidFill>
                <a:prstClr val="green"/>
              </a:solidFill>
            </a:ln>
          </xdr:spPr>
          <xdr:txBody>
            <a:bodyPr vertOverflow="clip" horzOverflow="clip"/>
            <a:lstStyle/>
            <a:p>
              <a:r>
                <a:rPr lang="tr-TR" sz="1100"/>
                <a:t>Bu grafik, Excel sürümünüzde kullanılamaz.
Bu şekli düzenlemek veya bu çalışma kitabını farklı bir dosya biçiminde kaydetmek grafiğin kalıcı olarak bozulmasına neden olur.</a:t>
              </a:r>
            </a:p>
          </xdr:txBody>
        </xdr:sp>
      </mc:Fallback>
    </mc:AlternateContent>
    <xdr:clientData/>
  </xdr:twoCellAnchor>
  <xdr:twoCellAnchor>
    <xdr:from>
      <xdr:col>21</xdr:col>
      <xdr:colOff>0</xdr:colOff>
      <xdr:row>0</xdr:row>
      <xdr:rowOff>1</xdr:rowOff>
    </xdr:from>
    <xdr:to>
      <xdr:col>26</xdr:col>
      <xdr:colOff>21771</xdr:colOff>
      <xdr:row>7</xdr:row>
      <xdr:rowOff>141515</xdr:rowOff>
    </xdr:to>
    <mc:AlternateContent xmlns:mc="http://schemas.openxmlformats.org/markup-compatibility/2006">
      <mc:Choice xmlns:cx1="http://schemas.microsoft.com/office/drawing/2015/9/8/chartex" Requires="cx1">
        <xdr:graphicFrame macro="">
          <xdr:nvGraphicFramePr>
            <xdr:cNvPr id="4" name="Chart 9">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4927580" y="1"/>
              <a:ext cx="3656511" cy="1421674"/>
            </a:xfrm>
            <a:prstGeom prst="rect">
              <a:avLst/>
            </a:prstGeom>
            <a:solidFill>
              <a:prstClr val="white"/>
            </a:solidFill>
            <a:ln w="1">
              <a:solidFill>
                <a:prstClr val="green"/>
              </a:solidFill>
            </a:ln>
          </xdr:spPr>
          <xdr:txBody>
            <a:bodyPr vertOverflow="clip" horzOverflow="clip"/>
            <a:lstStyle/>
            <a:p>
              <a:r>
                <a:rPr lang="tr-TR" sz="1100"/>
                <a:t>Bu grafik, Excel sürümünüzde kullanılamaz.
Bu şekli düzenlemek veya bu çalışma kitabını farklı bir dosya biçiminde kaydetmek grafiğin kalıcı olarak bozulmasına neden olur.</a:t>
              </a:r>
            </a:p>
          </xdr:txBody>
        </xdr:sp>
      </mc:Fallback>
    </mc:AlternateContent>
    <xdr:clientData/>
  </xdr:twoCellAnchor>
  <xdr:twoCellAnchor>
    <xdr:from>
      <xdr:col>10</xdr:col>
      <xdr:colOff>10886</xdr:colOff>
      <xdr:row>10</xdr:row>
      <xdr:rowOff>76201</xdr:rowOff>
    </xdr:from>
    <xdr:to>
      <xdr:col>14</xdr:col>
      <xdr:colOff>326571</xdr:colOff>
      <xdr:row>19</xdr:row>
      <xdr:rowOff>119743</xdr:rowOff>
    </xdr:to>
    <mc:AlternateContent xmlns:mc="http://schemas.openxmlformats.org/markup-compatibility/2006">
      <mc:Choice xmlns:cx1="http://schemas.microsoft.com/office/drawing/2015/9/8/chartex" Requires="cx1">
        <xdr:graphicFrame macro="">
          <xdr:nvGraphicFramePr>
            <xdr:cNvPr id="5" name="Chart 9">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6343106" y="1905001"/>
              <a:ext cx="3500845" cy="1689462"/>
            </a:xfrm>
            <a:prstGeom prst="rect">
              <a:avLst/>
            </a:prstGeom>
            <a:solidFill>
              <a:prstClr val="white"/>
            </a:solidFill>
            <a:ln w="1">
              <a:solidFill>
                <a:prstClr val="green"/>
              </a:solidFill>
            </a:ln>
          </xdr:spPr>
          <xdr:txBody>
            <a:bodyPr vertOverflow="clip" horzOverflow="clip"/>
            <a:lstStyle/>
            <a:p>
              <a:r>
                <a:rPr lang="tr-TR" sz="1100"/>
                <a:t>Bu grafik, Excel sürümünüzde kullanılamaz.
Bu şekli düzenlemek veya bu çalışma kitabını farklı bir dosya biçiminde kaydetmek grafiğin kalıcı olarak bozulmasına neden olur.</a:t>
              </a:r>
            </a:p>
          </xdr:txBody>
        </xdr:sp>
      </mc:Fallback>
    </mc:AlternateContent>
    <xdr:clientData/>
  </xdr:twoCellAnchor>
  <xdr:twoCellAnchor>
    <xdr:from>
      <xdr:col>15</xdr:col>
      <xdr:colOff>141515</xdr:colOff>
      <xdr:row>10</xdr:row>
      <xdr:rowOff>87086</xdr:rowOff>
    </xdr:from>
    <xdr:to>
      <xdr:col>20</xdr:col>
      <xdr:colOff>141514</xdr:colOff>
      <xdr:row>19</xdr:row>
      <xdr:rowOff>97971</xdr:rowOff>
    </xdr:to>
    <mc:AlternateContent xmlns:mc="http://schemas.openxmlformats.org/markup-compatibility/2006">
      <mc:Choice xmlns:cx1="http://schemas.microsoft.com/office/drawing/2015/9/8/chartex" Requires="cx1">
        <xdr:graphicFrame macro="">
          <xdr:nvGraphicFramePr>
            <xdr:cNvPr id="6" name="Chart 9">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0268495" y="1915886"/>
              <a:ext cx="4190999" cy="1656805"/>
            </a:xfrm>
            <a:prstGeom prst="rect">
              <a:avLst/>
            </a:prstGeom>
            <a:solidFill>
              <a:prstClr val="white"/>
            </a:solidFill>
            <a:ln w="1">
              <a:solidFill>
                <a:prstClr val="green"/>
              </a:solidFill>
            </a:ln>
          </xdr:spPr>
          <xdr:txBody>
            <a:bodyPr vertOverflow="clip" horzOverflow="clip"/>
            <a:lstStyle/>
            <a:p>
              <a:r>
                <a:rPr lang="tr-TR" sz="1100"/>
                <a:t>Bu grafik, Excel sürümünüzde kullanılamaz.
Bu şekli düzenlemek veya bu çalışma kitabını farklı bir dosya biçiminde kaydetmek grafiğin kalıcı olarak bozulmasına neden olur.</a:t>
              </a:r>
            </a:p>
          </xdr:txBody>
        </xdr:sp>
      </mc:Fallback>
    </mc:AlternateContent>
    <xdr:clientData/>
  </xdr:twoCellAnchor>
  <xdr:twoCellAnchor>
    <xdr:from>
      <xdr:col>21</xdr:col>
      <xdr:colOff>54428</xdr:colOff>
      <xdr:row>10</xdr:row>
      <xdr:rowOff>108857</xdr:rowOff>
    </xdr:from>
    <xdr:to>
      <xdr:col>26</xdr:col>
      <xdr:colOff>130627</xdr:colOff>
      <xdr:row>19</xdr:row>
      <xdr:rowOff>141514</xdr:rowOff>
    </xdr:to>
    <mc:AlternateContent xmlns:mc="http://schemas.openxmlformats.org/markup-compatibility/2006">
      <mc:Choice xmlns:cx1="http://schemas.microsoft.com/office/drawing/2015/9/8/chartex" Requires="cx1">
        <xdr:graphicFrame macro="">
          <xdr:nvGraphicFramePr>
            <xdr:cNvPr id="7" name="Chart 9">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4982008" y="1937657"/>
              <a:ext cx="3710939" cy="1678577"/>
            </a:xfrm>
            <a:prstGeom prst="rect">
              <a:avLst/>
            </a:prstGeom>
            <a:solidFill>
              <a:prstClr val="white"/>
            </a:solidFill>
            <a:ln w="1">
              <a:solidFill>
                <a:prstClr val="green"/>
              </a:solidFill>
            </a:ln>
          </xdr:spPr>
          <xdr:txBody>
            <a:bodyPr vertOverflow="clip" horzOverflow="clip"/>
            <a:lstStyle/>
            <a:p>
              <a:r>
                <a:rPr lang="tr-TR" sz="1100"/>
                <a:t>Bu grafik, Excel sürümünüzde kullanılamaz.
Bu şekli düzenlemek veya bu çalışma kitabını farklı bir dosya biçiminde kaydetmek grafiğin kalıcı olarak bozulmasına neden olur.</a:t>
              </a:r>
            </a:p>
          </xdr:txBody>
        </xdr:sp>
      </mc:Fallback>
    </mc:AlternateContent>
    <xdr:clientData/>
  </xdr:twoCellAnchor>
  <xdr:twoCellAnchor>
    <xdr:from>
      <xdr:col>9</xdr:col>
      <xdr:colOff>544286</xdr:colOff>
      <xdr:row>22</xdr:row>
      <xdr:rowOff>10884</xdr:rowOff>
    </xdr:from>
    <xdr:to>
      <xdr:col>14</xdr:col>
      <xdr:colOff>337457</xdr:colOff>
      <xdr:row>32</xdr:row>
      <xdr:rowOff>130627</xdr:rowOff>
    </xdr:to>
    <mc:AlternateContent xmlns:mc="http://schemas.openxmlformats.org/markup-compatibility/2006">
      <mc:Choice xmlns:cx1="http://schemas.microsoft.com/office/drawing/2015/9/8/chartex" Requires="cx1">
        <xdr:graphicFrame macro="">
          <xdr:nvGraphicFramePr>
            <xdr:cNvPr id="8" name="Chart 9">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6266906" y="4034244"/>
              <a:ext cx="3587931" cy="1948543"/>
            </a:xfrm>
            <a:prstGeom prst="rect">
              <a:avLst/>
            </a:prstGeom>
            <a:solidFill>
              <a:prstClr val="white"/>
            </a:solidFill>
            <a:ln w="1">
              <a:solidFill>
                <a:prstClr val="green"/>
              </a:solidFill>
            </a:ln>
          </xdr:spPr>
          <xdr:txBody>
            <a:bodyPr vertOverflow="clip" horzOverflow="clip"/>
            <a:lstStyle/>
            <a:p>
              <a:r>
                <a:rPr lang="tr-TR" sz="1100"/>
                <a:t>Bu grafik, Excel sürümünüzde kullanılamaz.
Bu şekli düzenlemek veya bu çalışma kitabını farklı bir dosya biçiminde kaydetmek grafiğin kalıcı olarak bozulmasına neden olur.</a:t>
              </a:r>
            </a:p>
          </xdr:txBody>
        </xdr:sp>
      </mc:Fallback>
    </mc:AlternateContent>
    <xdr:clientData/>
  </xdr:twoCellAnchor>
  <xdr:twoCellAnchor>
    <xdr:from>
      <xdr:col>15</xdr:col>
      <xdr:colOff>174172</xdr:colOff>
      <xdr:row>21</xdr:row>
      <xdr:rowOff>180108</xdr:rowOff>
    </xdr:from>
    <xdr:to>
      <xdr:col>20</xdr:col>
      <xdr:colOff>119741</xdr:colOff>
      <xdr:row>32</xdr:row>
      <xdr:rowOff>163285</xdr:rowOff>
    </xdr:to>
    <mc:AlternateContent xmlns:mc="http://schemas.openxmlformats.org/markup-compatibility/2006">
      <mc:Choice xmlns:cx1="http://schemas.microsoft.com/office/drawing/2015/9/8/chartex" Requires="cx1">
        <xdr:graphicFrame macro="">
          <xdr:nvGraphicFramePr>
            <xdr:cNvPr id="9" name="Chart 9">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10301152" y="4020588"/>
              <a:ext cx="4136569" cy="1994857"/>
            </a:xfrm>
            <a:prstGeom prst="rect">
              <a:avLst/>
            </a:prstGeom>
            <a:solidFill>
              <a:prstClr val="white"/>
            </a:solidFill>
            <a:ln w="1">
              <a:solidFill>
                <a:prstClr val="green"/>
              </a:solidFill>
            </a:ln>
          </xdr:spPr>
          <xdr:txBody>
            <a:bodyPr vertOverflow="clip" horzOverflow="clip"/>
            <a:lstStyle/>
            <a:p>
              <a:r>
                <a:rPr lang="tr-TR" sz="1100"/>
                <a:t>Bu grafik, Excel sürümünüzde kullanılamaz.
Bu şekli düzenlemek veya bu çalışma kitabını farklı bir dosya biçiminde kaydetmek grafiğin kalıcı olarak bozulmasına neden olur.</a:t>
              </a:r>
            </a:p>
          </xdr:txBody>
        </xdr:sp>
      </mc:Fallback>
    </mc:AlternateContent>
    <xdr:clientData/>
  </xdr:twoCellAnchor>
  <xdr:twoCellAnchor>
    <xdr:from>
      <xdr:col>21</xdr:col>
      <xdr:colOff>65315</xdr:colOff>
      <xdr:row>21</xdr:row>
      <xdr:rowOff>142503</xdr:rowOff>
    </xdr:from>
    <xdr:to>
      <xdr:col>26</xdr:col>
      <xdr:colOff>359228</xdr:colOff>
      <xdr:row>33</xdr:row>
      <xdr:rowOff>10885</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14992895" y="3982983"/>
              <a:ext cx="3928653" cy="2062942"/>
            </a:xfrm>
            <a:prstGeom prst="rect">
              <a:avLst/>
            </a:prstGeom>
            <a:solidFill>
              <a:prstClr val="white"/>
            </a:solidFill>
            <a:ln w="1">
              <a:solidFill>
                <a:prstClr val="green"/>
              </a:solidFill>
            </a:ln>
          </xdr:spPr>
          <xdr:txBody>
            <a:bodyPr vertOverflow="clip" horzOverflow="clip"/>
            <a:lstStyle/>
            <a:p>
              <a:r>
                <a:rPr lang="tr-TR" sz="1100"/>
                <a:t>Bu grafik, Excel sürümünüzde kullanılamaz.
Bu şekli düzenlemek veya bu çalışma kitabını farklı bir dosya biçiminde kaydetmek grafiğin kalıcı olarak bozulmasına neden olur.</a:t>
              </a:r>
            </a:p>
          </xdr:txBody>
        </xdr:sp>
      </mc:Fallback>
    </mc:AlternateContent>
    <xdr:clientData/>
  </xdr:twoCellAnchor>
  <xdr:twoCellAnchor>
    <xdr:from>
      <xdr:col>0</xdr:col>
      <xdr:colOff>337458</xdr:colOff>
      <xdr:row>23</xdr:row>
      <xdr:rowOff>21772</xdr:rowOff>
    </xdr:from>
    <xdr:to>
      <xdr:col>8</xdr:col>
      <xdr:colOff>130629</xdr:colOff>
      <xdr:row>29</xdr:row>
      <xdr:rowOff>141514</xdr:rowOff>
    </xdr:to>
    <xdr:sp macro="" textlink="">
      <xdr:nvSpPr>
        <xdr:cNvPr id="11" name="Dikdörtgen: Eğimli 10">
          <a:hlinkClick xmlns:r="http://schemas.openxmlformats.org/officeDocument/2006/relationships" r:id="rId10"/>
          <a:extLst>
            <a:ext uri="{FF2B5EF4-FFF2-40B4-BE49-F238E27FC236}">
              <a16:creationId xmlns:a16="http://schemas.microsoft.com/office/drawing/2014/main" id="{00000000-0008-0000-0500-00000B000000}"/>
            </a:ext>
          </a:extLst>
        </xdr:cNvPr>
        <xdr:cNvSpPr/>
      </xdr:nvSpPr>
      <xdr:spPr>
        <a:xfrm>
          <a:off x="337458" y="4278086"/>
          <a:ext cx="4909457" cy="1230085"/>
        </a:xfrm>
        <a:prstGeom prst="bevel">
          <a:avLst/>
        </a:prstGeom>
        <a:solidFill>
          <a:schemeClr val="bg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tr-TR" sz="2400" baseline="0">
              <a:solidFill>
                <a:schemeClr val="lt1"/>
              </a:solidFill>
              <a:effectLst/>
              <a:latin typeface="+mn-lt"/>
              <a:ea typeface="+mn-ea"/>
              <a:cs typeface="+mn-cs"/>
            </a:rPr>
            <a:t>          </a:t>
          </a:r>
          <a:r>
            <a:rPr lang="tr-TR" sz="2400">
              <a:solidFill>
                <a:schemeClr val="lt1"/>
              </a:solidFill>
              <a:effectLst/>
              <a:latin typeface="+mn-lt"/>
              <a:ea typeface="+mn-ea"/>
              <a:cs typeface="+mn-cs"/>
            </a:rPr>
            <a:t>DEVAMI İÇİN TIKLAYINIZ 	    ORTALAMALAR</a:t>
          </a:r>
        </a:p>
        <a:p>
          <a:endParaRPr lang="tr-TR" sz="2800">
            <a:effectLst/>
          </a:endParaRP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0</xdr:row>
          <xdr:rowOff>68580</xdr:rowOff>
        </xdr:from>
        <xdr:to>
          <xdr:col>10</xdr:col>
          <xdr:colOff>266700</xdr:colOff>
          <xdr:row>44</xdr:row>
          <xdr:rowOff>38100</xdr:rowOff>
        </xdr:to>
        <xdr:sp macro="" textlink="">
          <xdr:nvSpPr>
            <xdr:cNvPr id="6145" name="ListBox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10</xdr:col>
      <xdr:colOff>311726</xdr:colOff>
      <xdr:row>0</xdr:row>
      <xdr:rowOff>120238</xdr:rowOff>
    </xdr:from>
    <xdr:to>
      <xdr:col>27</xdr:col>
      <xdr:colOff>13854</xdr:colOff>
      <xdr:row>21</xdr:row>
      <xdr:rowOff>110836</xdr:rowOff>
    </xdr:to>
    <xdr:graphicFrame macro="">
      <xdr:nvGraphicFramePr>
        <xdr:cNvPr id="2" name="Grafik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478971</xdr:colOff>
      <xdr:row>46</xdr:row>
      <xdr:rowOff>64325</xdr:rowOff>
    </xdr:from>
    <xdr:to>
      <xdr:col>13</xdr:col>
      <xdr:colOff>402771</xdr:colOff>
      <xdr:row>52</xdr:row>
      <xdr:rowOff>86096</xdr:rowOff>
    </xdr:to>
    <xdr:sp macro="" textlink="">
      <xdr:nvSpPr>
        <xdr:cNvPr id="4" name="Dikdörtgen: Eğimli 3">
          <a:hlinkClick xmlns:r="http://schemas.openxmlformats.org/officeDocument/2006/relationships" r:id="rId2"/>
          <a:extLst>
            <a:ext uri="{FF2B5EF4-FFF2-40B4-BE49-F238E27FC236}">
              <a16:creationId xmlns:a16="http://schemas.microsoft.com/office/drawing/2014/main" id="{00000000-0008-0000-0600-000004000000}"/>
            </a:ext>
          </a:extLst>
        </xdr:cNvPr>
        <xdr:cNvSpPr/>
      </xdr:nvSpPr>
      <xdr:spPr>
        <a:xfrm>
          <a:off x="4746171" y="8349343"/>
          <a:ext cx="3664527" cy="1102426"/>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2000"/>
            <a:t>     DEVAMI İÇİN TIKLA       </a:t>
          </a:r>
          <a:r>
            <a:rPr lang="tr-TR" sz="2000" baseline="0"/>
            <a:t>        --------</a:t>
          </a:r>
          <a:r>
            <a:rPr lang="tr-TR" sz="2000"/>
            <a:t>KORELASYON--------</a:t>
          </a:r>
        </a:p>
      </xdr:txBody>
    </xdr:sp>
    <xdr:clientData/>
  </xdr:twoCellAnchor>
  <xdr:twoCellAnchor>
    <xdr:from>
      <xdr:col>10</xdr:col>
      <xdr:colOff>318654</xdr:colOff>
      <xdr:row>24</xdr:row>
      <xdr:rowOff>2</xdr:rowOff>
    </xdr:from>
    <xdr:to>
      <xdr:col>27</xdr:col>
      <xdr:colOff>83127</xdr:colOff>
      <xdr:row>45</xdr:row>
      <xdr:rowOff>13855</xdr:rowOff>
    </xdr:to>
    <xdr:graphicFrame macro="">
      <xdr:nvGraphicFramePr>
        <xdr:cNvPr id="6" name="Grafik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6</xdr:col>
      <xdr:colOff>0</xdr:colOff>
      <xdr:row>0</xdr:row>
      <xdr:rowOff>0</xdr:rowOff>
    </xdr:from>
    <xdr:to>
      <xdr:col>11</xdr:col>
      <xdr:colOff>435428</xdr:colOff>
      <xdr:row>8</xdr:row>
      <xdr:rowOff>272142</xdr:rowOff>
    </xdr:to>
    <xdr:pic>
      <xdr:nvPicPr>
        <xdr:cNvPr id="2" name="Resi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3657600" y="0"/>
          <a:ext cx="3799114" cy="2710542"/>
        </a:xfrm>
        <a:prstGeom prst="rect">
          <a:avLst/>
        </a:prstGeom>
      </xdr:spPr>
    </xdr:pic>
    <xdr:clientData/>
  </xdr:twoCellAnchor>
  <xdr:twoCellAnchor editAs="oneCell">
    <xdr:from>
      <xdr:col>12</xdr:col>
      <xdr:colOff>587829</xdr:colOff>
      <xdr:row>0</xdr:row>
      <xdr:rowOff>0</xdr:rowOff>
    </xdr:from>
    <xdr:to>
      <xdr:col>18</xdr:col>
      <xdr:colOff>620486</xdr:colOff>
      <xdr:row>8</xdr:row>
      <xdr:rowOff>251156</xdr:rowOff>
    </xdr:to>
    <xdr:pic>
      <xdr:nvPicPr>
        <xdr:cNvPr id="3" name="Resim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7903029" y="0"/>
          <a:ext cx="3690257" cy="2689556"/>
        </a:xfrm>
        <a:prstGeom prst="rect">
          <a:avLst/>
        </a:prstGeom>
      </xdr:spPr>
    </xdr:pic>
    <xdr:clientData/>
  </xdr:twoCellAnchor>
  <xdr:twoCellAnchor>
    <xdr:from>
      <xdr:col>20</xdr:col>
      <xdr:colOff>87086</xdr:colOff>
      <xdr:row>5</xdr:row>
      <xdr:rowOff>250372</xdr:rowOff>
    </xdr:from>
    <xdr:to>
      <xdr:col>26</xdr:col>
      <xdr:colOff>587828</xdr:colOff>
      <xdr:row>8</xdr:row>
      <xdr:rowOff>261257</xdr:rowOff>
    </xdr:to>
    <xdr:sp macro="" textlink="">
      <xdr:nvSpPr>
        <xdr:cNvPr id="4" name="Dikdörtgen 3">
          <a:extLst>
            <a:ext uri="{FF2B5EF4-FFF2-40B4-BE49-F238E27FC236}">
              <a16:creationId xmlns:a16="http://schemas.microsoft.com/office/drawing/2014/main" id="{00000000-0008-0000-0700-000004000000}"/>
            </a:ext>
          </a:extLst>
        </xdr:cNvPr>
        <xdr:cNvSpPr/>
      </xdr:nvSpPr>
      <xdr:spPr>
        <a:xfrm>
          <a:off x="12279086" y="1915886"/>
          <a:ext cx="4158342" cy="783771"/>
        </a:xfrm>
        <a:prstGeom prst="rect">
          <a:avLst/>
        </a:prstGeom>
        <a:solidFill>
          <a:schemeClr val="bg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2800"/>
            <a:t>          Y=1,037X-16,733</a:t>
          </a:r>
        </a:p>
      </xdr:txBody>
    </xdr:sp>
    <xdr:clientData/>
  </xdr:twoCellAnchor>
  <xdr:twoCellAnchor>
    <xdr:from>
      <xdr:col>0</xdr:col>
      <xdr:colOff>54427</xdr:colOff>
      <xdr:row>12</xdr:row>
      <xdr:rowOff>119742</xdr:rowOff>
    </xdr:from>
    <xdr:to>
      <xdr:col>7</xdr:col>
      <xdr:colOff>97970</xdr:colOff>
      <xdr:row>24</xdr:row>
      <xdr:rowOff>43544</xdr:rowOff>
    </xdr:to>
    <mc:AlternateContent xmlns:mc="http://schemas.openxmlformats.org/markup-compatibility/2006">
      <mc:Choice xmlns:cx1="http://schemas.microsoft.com/office/drawing/2015/9/8/chartex" Requires="cx1">
        <xdr:graphicFrame macro="">
          <xdr:nvGraphicFramePr>
            <xdr:cNvPr id="5" name="Chart 9">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54427" y="3472542"/>
              <a:ext cx="4310743" cy="2118362"/>
            </a:xfrm>
            <a:prstGeom prst="rect">
              <a:avLst/>
            </a:prstGeom>
            <a:solidFill>
              <a:prstClr val="white"/>
            </a:solidFill>
            <a:ln w="1">
              <a:solidFill>
                <a:prstClr val="green"/>
              </a:solidFill>
            </a:ln>
          </xdr:spPr>
          <xdr:txBody>
            <a:bodyPr vertOverflow="clip" horzOverflow="clip"/>
            <a:lstStyle/>
            <a:p>
              <a:r>
                <a:rPr lang="tr-TR" sz="1100"/>
                <a:t>Bu grafik, Excel sürümünüzde kullanılamaz.
Bu şekli düzenlemek veya bu çalışma kitabını farklı bir dosya biçiminde kaydetmek grafiğin kalıcı olarak bozulmasına neden olur.</a:t>
              </a:r>
            </a:p>
          </xdr:txBody>
        </xdr:sp>
      </mc:Fallback>
    </mc:AlternateContent>
    <xdr:clientData/>
  </xdr:twoCellAnchor>
  <xdr:twoCellAnchor>
    <xdr:from>
      <xdr:col>10</xdr:col>
      <xdr:colOff>54427</xdr:colOff>
      <xdr:row>12</xdr:row>
      <xdr:rowOff>119742</xdr:rowOff>
    </xdr:from>
    <xdr:to>
      <xdr:col>17</xdr:col>
      <xdr:colOff>119742</xdr:colOff>
      <xdr:row>24</xdr:row>
      <xdr:rowOff>43543</xdr:rowOff>
    </xdr:to>
    <mc:AlternateContent xmlns:mc="http://schemas.openxmlformats.org/markup-compatibility/2006">
      <mc:Choice xmlns:cx1="http://schemas.microsoft.com/office/drawing/2015/9/8/chartex" Requires="cx1">
        <xdr:graphicFrame macro="">
          <xdr:nvGraphicFramePr>
            <xdr:cNvPr id="6" name="Chart 9">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6470467" y="3472542"/>
              <a:ext cx="4332515" cy="2118361"/>
            </a:xfrm>
            <a:prstGeom prst="rect">
              <a:avLst/>
            </a:prstGeom>
            <a:solidFill>
              <a:prstClr val="white"/>
            </a:solidFill>
            <a:ln w="1">
              <a:solidFill>
                <a:prstClr val="green"/>
              </a:solidFill>
            </a:ln>
          </xdr:spPr>
          <xdr:txBody>
            <a:bodyPr vertOverflow="clip" horzOverflow="clip"/>
            <a:lstStyle/>
            <a:p>
              <a:r>
                <a:rPr lang="tr-TR" sz="1100"/>
                <a:t>Bu grafik, Excel sürümünüzde kullanılamaz.
Bu şekli düzenlemek veya bu çalışma kitabını farklı bir dosya biçiminde kaydetmek grafiğin kalıcı olarak bozulmasına neden olur.</a:t>
              </a:r>
            </a:p>
          </xdr:txBody>
        </xdr:sp>
      </mc:Fallback>
    </mc:AlternateContent>
    <xdr:clientData/>
  </xdr:twoCellAnchor>
  <xdr:twoCellAnchor>
    <xdr:from>
      <xdr:col>20</xdr:col>
      <xdr:colOff>78180</xdr:colOff>
      <xdr:row>12</xdr:row>
      <xdr:rowOff>119742</xdr:rowOff>
    </xdr:from>
    <xdr:to>
      <xdr:col>26</xdr:col>
      <xdr:colOff>500744</xdr:colOff>
      <xdr:row>24</xdr:row>
      <xdr:rowOff>43543</xdr:rowOff>
    </xdr:to>
    <mc:AlternateContent xmlns:mc="http://schemas.openxmlformats.org/markup-compatibility/2006">
      <mc:Choice xmlns:cx1="http://schemas.microsoft.com/office/drawing/2015/9/8/chartex" Requires="cx1">
        <xdr:graphicFrame macro="">
          <xdr:nvGraphicFramePr>
            <xdr:cNvPr id="7" name="Chart 9">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2712140" y="3472542"/>
              <a:ext cx="4080164" cy="2118361"/>
            </a:xfrm>
            <a:prstGeom prst="rect">
              <a:avLst/>
            </a:prstGeom>
            <a:solidFill>
              <a:prstClr val="white"/>
            </a:solidFill>
            <a:ln w="1">
              <a:solidFill>
                <a:prstClr val="green"/>
              </a:solidFill>
            </a:ln>
          </xdr:spPr>
          <xdr:txBody>
            <a:bodyPr vertOverflow="clip" horzOverflow="clip"/>
            <a:lstStyle/>
            <a:p>
              <a:r>
                <a:rPr lang="tr-TR" sz="1100"/>
                <a:t>Bu grafik, Excel sürümünüzde kullanılamaz.
Bu şekli düzenlemek veya bu çalışma kitabını farklı bir dosya biçiminde kaydetmek grafiğin kalıcı olarak bozulmasına neden olur.</a:t>
              </a:r>
            </a:p>
          </xdr:txBody>
        </xdr:sp>
      </mc:Fallback>
    </mc:AlternateContent>
    <xdr:clientData/>
  </xdr:twoCellAnchor>
  <xdr:twoCellAnchor>
    <xdr:from>
      <xdr:col>10</xdr:col>
      <xdr:colOff>424543</xdr:colOff>
      <xdr:row>25</xdr:row>
      <xdr:rowOff>163286</xdr:rowOff>
    </xdr:from>
    <xdr:to>
      <xdr:col>17</xdr:col>
      <xdr:colOff>21771</xdr:colOff>
      <xdr:row>32</xdr:row>
      <xdr:rowOff>97971</xdr:rowOff>
    </xdr:to>
    <xdr:sp macro="" textlink="">
      <xdr:nvSpPr>
        <xdr:cNvPr id="11" name="Dikdörtgen: Eğimli 10">
          <a:hlinkClick xmlns:r="http://schemas.openxmlformats.org/officeDocument/2006/relationships" r:id="rId6"/>
          <a:extLst>
            <a:ext uri="{FF2B5EF4-FFF2-40B4-BE49-F238E27FC236}">
              <a16:creationId xmlns:a16="http://schemas.microsoft.com/office/drawing/2014/main" id="{00000000-0008-0000-0700-00000B000000}"/>
            </a:ext>
          </a:extLst>
        </xdr:cNvPr>
        <xdr:cNvSpPr/>
      </xdr:nvSpPr>
      <xdr:spPr>
        <a:xfrm>
          <a:off x="6836229" y="6074229"/>
          <a:ext cx="3864428" cy="123008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2400"/>
            <a:t>       ANA SAYFAYA DÖN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12</xdr:col>
      <xdr:colOff>581888</xdr:colOff>
      <xdr:row>34</xdr:row>
      <xdr:rowOff>55417</xdr:rowOff>
    </xdr:from>
    <xdr:to>
      <xdr:col>18</xdr:col>
      <xdr:colOff>581889</xdr:colOff>
      <xdr:row>39</xdr:row>
      <xdr:rowOff>83127</xdr:rowOff>
    </xdr:to>
    <xdr:sp macro="" textlink="">
      <xdr:nvSpPr>
        <xdr:cNvPr id="2" name="Dikdörtgen 1">
          <a:extLst>
            <a:ext uri="{FF2B5EF4-FFF2-40B4-BE49-F238E27FC236}">
              <a16:creationId xmlns:a16="http://schemas.microsoft.com/office/drawing/2014/main" id="{00000000-0008-0000-0800-000002000000}"/>
            </a:ext>
          </a:extLst>
        </xdr:cNvPr>
        <xdr:cNvSpPr/>
      </xdr:nvSpPr>
      <xdr:spPr>
        <a:xfrm>
          <a:off x="8825343" y="9601199"/>
          <a:ext cx="5527964" cy="92825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4800" b="1"/>
            <a:t>     Y=0,618X-2,513</a:t>
          </a:r>
        </a:p>
      </xdr:txBody>
    </xdr:sp>
    <xdr:clientData/>
  </xdr:twoCellAnchor>
  <xdr:twoCellAnchor>
    <xdr:from>
      <xdr:col>19</xdr:col>
      <xdr:colOff>443344</xdr:colOff>
      <xdr:row>34</xdr:row>
      <xdr:rowOff>69272</xdr:rowOff>
    </xdr:from>
    <xdr:to>
      <xdr:col>25</xdr:col>
      <xdr:colOff>124689</xdr:colOff>
      <xdr:row>39</xdr:row>
      <xdr:rowOff>96982</xdr:rowOff>
    </xdr:to>
    <xdr:sp macro="" textlink="">
      <xdr:nvSpPr>
        <xdr:cNvPr id="3" name="Dikdörtgen 2">
          <a:extLst>
            <a:ext uri="{FF2B5EF4-FFF2-40B4-BE49-F238E27FC236}">
              <a16:creationId xmlns:a16="http://schemas.microsoft.com/office/drawing/2014/main" id="{00000000-0008-0000-0800-000003000000}"/>
            </a:ext>
          </a:extLst>
        </xdr:cNvPr>
        <xdr:cNvSpPr/>
      </xdr:nvSpPr>
      <xdr:spPr>
        <a:xfrm>
          <a:off x="14824362" y="9615054"/>
          <a:ext cx="5056909" cy="92825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4400" b="1"/>
            <a:t>     Y=0,410X+0,741</a:t>
          </a:r>
        </a:p>
      </xdr:txBody>
    </xdr:sp>
    <xdr:clientData/>
  </xdr:twoCellAnchor>
  <xdr:twoCellAnchor>
    <xdr:from>
      <xdr:col>27</xdr:col>
      <xdr:colOff>290945</xdr:colOff>
      <xdr:row>2</xdr:row>
      <xdr:rowOff>332510</xdr:rowOff>
    </xdr:from>
    <xdr:to>
      <xdr:col>33</xdr:col>
      <xdr:colOff>69273</xdr:colOff>
      <xdr:row>5</xdr:row>
      <xdr:rowOff>27709</xdr:rowOff>
    </xdr:to>
    <xdr:sp macro="" textlink="">
      <xdr:nvSpPr>
        <xdr:cNvPr id="4" name="Dikdörtgen: Eğimli 3">
          <a:hlinkClick xmlns:r="http://schemas.openxmlformats.org/officeDocument/2006/relationships" r:id="rId1"/>
          <a:extLst>
            <a:ext uri="{FF2B5EF4-FFF2-40B4-BE49-F238E27FC236}">
              <a16:creationId xmlns:a16="http://schemas.microsoft.com/office/drawing/2014/main" id="{00000000-0008-0000-0800-000004000000}"/>
            </a:ext>
          </a:extLst>
        </xdr:cNvPr>
        <xdr:cNvSpPr/>
      </xdr:nvSpPr>
      <xdr:spPr>
        <a:xfrm>
          <a:off x="21266727" y="1080655"/>
          <a:ext cx="3435928" cy="1149927"/>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4000"/>
            <a:t>        TIKLA</a:t>
          </a:r>
        </a:p>
      </xdr:txBody>
    </xdr:sp>
    <xdr:clientData/>
  </xdr:twoCellAnchor>
  <xdr:twoCellAnchor>
    <xdr:from>
      <xdr:col>13</xdr:col>
      <xdr:colOff>0</xdr:colOff>
      <xdr:row>43</xdr:row>
      <xdr:rowOff>0</xdr:rowOff>
    </xdr:from>
    <xdr:to>
      <xdr:col>17</xdr:col>
      <xdr:colOff>124691</xdr:colOff>
      <xdr:row>56</xdr:row>
      <xdr:rowOff>124691</xdr:rowOff>
    </xdr:to>
    <mc:AlternateContent xmlns:mc="http://schemas.openxmlformats.org/markup-compatibility/2006">
      <mc:Choice xmlns:cx1="http://schemas.microsoft.com/office/drawing/2015/9/8/chartex" Requires="cx1">
        <xdr:graphicFrame macro="">
          <xdr:nvGraphicFramePr>
            <xdr:cNvPr id="5" name="Chart 9">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846820" y="11148060"/>
              <a:ext cx="4429991" cy="2502131"/>
            </a:xfrm>
            <a:prstGeom prst="rect">
              <a:avLst/>
            </a:prstGeom>
            <a:solidFill>
              <a:prstClr val="white"/>
            </a:solidFill>
            <a:ln w="1">
              <a:solidFill>
                <a:prstClr val="green"/>
              </a:solidFill>
            </a:ln>
          </xdr:spPr>
          <xdr:txBody>
            <a:bodyPr vertOverflow="clip" horzOverflow="clip"/>
            <a:lstStyle/>
            <a:p>
              <a:r>
                <a:rPr lang="tr-TR" sz="1100"/>
                <a:t>Bu grafik, Excel sürümünüzde kullanılamaz.
Bu şekli düzenlemek veya bu çalışma kitabını farklı bir dosya biçiminde kaydetmek grafiğin kalıcı olarak bozulmasına neden olur.</a:t>
              </a:r>
            </a:p>
          </xdr:txBody>
        </xdr:sp>
      </mc:Fallback>
    </mc:AlternateContent>
    <xdr:clientData/>
  </xdr:twoCellAnchor>
  <xdr:twoCellAnchor>
    <xdr:from>
      <xdr:col>19</xdr:col>
      <xdr:colOff>0</xdr:colOff>
      <xdr:row>43</xdr:row>
      <xdr:rowOff>0</xdr:rowOff>
    </xdr:from>
    <xdr:to>
      <xdr:col>23</xdr:col>
      <xdr:colOff>415636</xdr:colOff>
      <xdr:row>56</xdr:row>
      <xdr:rowOff>83128</xdr:rowOff>
    </xdr:to>
    <mc:AlternateContent xmlns:mc="http://schemas.openxmlformats.org/markup-compatibility/2006">
      <mc:Choice xmlns:cx1="http://schemas.microsoft.com/office/drawing/2015/9/8/chartex" Requires="cx1">
        <xdr:graphicFrame macro="">
          <xdr:nvGraphicFramePr>
            <xdr:cNvPr id="6" name="Chart 9">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4371320" y="11148060"/>
              <a:ext cx="4568536" cy="2460568"/>
            </a:xfrm>
            <a:prstGeom prst="rect">
              <a:avLst/>
            </a:prstGeom>
            <a:solidFill>
              <a:prstClr val="white"/>
            </a:solidFill>
            <a:ln w="1">
              <a:solidFill>
                <a:prstClr val="green"/>
              </a:solidFill>
            </a:ln>
          </xdr:spPr>
          <xdr:txBody>
            <a:bodyPr vertOverflow="clip" horzOverflow="clip"/>
            <a:lstStyle/>
            <a:p>
              <a:r>
                <a:rPr lang="tr-TR" sz="1100"/>
                <a:t>Bu grafik, Excel sürümünüzde kullanılamaz.
Bu şekli düzenlemek veya bu çalışma kitabını farklı bir dosya biçiminde kaydetmek grafiğin kalıcı olarak bozulmasına neden olur.</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594360</xdr:colOff>
          <xdr:row>0</xdr:row>
          <xdr:rowOff>0</xdr:rowOff>
        </xdr:from>
        <xdr:to>
          <xdr:col>12</xdr:col>
          <xdr:colOff>335280</xdr:colOff>
          <xdr:row>31</xdr:row>
          <xdr:rowOff>45720</xdr:rowOff>
        </xdr:to>
        <xdr:sp macro="" textlink="">
          <xdr:nvSpPr>
            <xdr:cNvPr id="10241" name="ListBox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12</xdr:col>
      <xdr:colOff>337456</xdr:colOff>
      <xdr:row>0</xdr:row>
      <xdr:rowOff>48985</xdr:rowOff>
    </xdr:from>
    <xdr:to>
      <xdr:col>30</xdr:col>
      <xdr:colOff>500742</xdr:colOff>
      <xdr:row>36</xdr:row>
      <xdr:rowOff>97970</xdr:rowOff>
    </xdr:to>
    <xdr:graphicFrame macro="">
      <xdr:nvGraphicFramePr>
        <xdr:cNvPr id="4" name="Grafik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174171</xdr:colOff>
      <xdr:row>31</xdr:row>
      <xdr:rowOff>87086</xdr:rowOff>
    </xdr:from>
    <xdr:to>
      <xdr:col>12</xdr:col>
      <xdr:colOff>65314</xdr:colOff>
      <xdr:row>35</xdr:row>
      <xdr:rowOff>174171</xdr:rowOff>
    </xdr:to>
    <xdr:sp macro="" textlink="">
      <xdr:nvSpPr>
        <xdr:cNvPr id="5" name="Dikdörtgen: Eğimli 4">
          <a:hlinkClick xmlns:r="http://schemas.openxmlformats.org/officeDocument/2006/relationships" r:id="rId2"/>
          <a:extLst>
            <a:ext uri="{FF2B5EF4-FFF2-40B4-BE49-F238E27FC236}">
              <a16:creationId xmlns:a16="http://schemas.microsoft.com/office/drawing/2014/main" id="{00000000-0008-0000-0900-000005000000}"/>
            </a:ext>
          </a:extLst>
        </xdr:cNvPr>
        <xdr:cNvSpPr/>
      </xdr:nvSpPr>
      <xdr:spPr>
        <a:xfrm>
          <a:off x="6585857" y="6640286"/>
          <a:ext cx="1719943" cy="827314"/>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tr-TR" sz="1600" b="1">
              <a:effectLst/>
            </a:rPr>
            <a:t>  DEVAMI</a:t>
          </a:r>
          <a:r>
            <a:rPr lang="tr-TR" sz="1600" b="1" baseline="0">
              <a:effectLst/>
            </a:rPr>
            <a:t> İÇİN       ---TIKLAYINIZ---</a:t>
          </a:r>
          <a:endParaRPr lang="tr-TR" sz="1600" b="1">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8</xdr:col>
      <xdr:colOff>395842</xdr:colOff>
      <xdr:row>0</xdr:row>
      <xdr:rowOff>58387</xdr:rowOff>
    </xdr:from>
    <xdr:to>
      <xdr:col>14</xdr:col>
      <xdr:colOff>25729</xdr:colOff>
      <xdr:row>10</xdr:row>
      <xdr:rowOff>167243</xdr:rowOff>
    </xdr:to>
    <xdr:sp macro="" textlink="">
      <xdr:nvSpPr>
        <xdr:cNvPr id="2" name="Kaydırma: Dikey 1">
          <a:extLst>
            <a:ext uri="{FF2B5EF4-FFF2-40B4-BE49-F238E27FC236}">
              <a16:creationId xmlns:a16="http://schemas.microsoft.com/office/drawing/2014/main" id="{00000000-0008-0000-0A00-000002000000}"/>
            </a:ext>
          </a:extLst>
        </xdr:cNvPr>
        <xdr:cNvSpPr/>
      </xdr:nvSpPr>
      <xdr:spPr>
        <a:xfrm>
          <a:off x="6200897" y="58387"/>
          <a:ext cx="3287487" cy="3808020"/>
        </a:xfrm>
        <a:prstGeom prst="verticalScrol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400"/>
            <a:t>                  ANOVA</a:t>
          </a:r>
        </a:p>
        <a:p>
          <a:pPr algn="l"/>
          <a:r>
            <a:rPr lang="tr-TR" sz="1400"/>
            <a:t>BU</a:t>
          </a:r>
          <a:r>
            <a:rPr lang="tr-TR" sz="1400" baseline="0"/>
            <a:t> KISIMDA DÖRT FARKLI SORUMUZA VERİLEN CEVAPLAR VARDI BU CEVAPLARIN ORTALAMALARI ARASINDA ANLAMLI BİR FARK VARMI YOKMU DİYE İNCELEDİK HER ÜLKE OLARAK GÖRDÜĞÜMÜZ ÜZERE BU CEVAPLARIN ORTALAMALARI ARASINDA ANLAMLI BİR FARK VARDIR HER ÜLKE İÇİN AŞAĞIYA İNDİKCE BUNU GİREBLİLİRZ</a:t>
          </a:r>
          <a:endParaRPr lang="tr-TR" sz="1400"/>
        </a:p>
      </xdr:txBody>
    </xdr:sp>
    <xdr:clientData/>
  </xdr:twoCellAnchor>
  <xdr:twoCellAnchor>
    <xdr:from>
      <xdr:col>8</xdr:col>
      <xdr:colOff>317665</xdr:colOff>
      <xdr:row>10</xdr:row>
      <xdr:rowOff>407719</xdr:rowOff>
    </xdr:from>
    <xdr:to>
      <xdr:col>13</xdr:col>
      <xdr:colOff>557152</xdr:colOff>
      <xdr:row>18</xdr:row>
      <xdr:rowOff>190003</xdr:rowOff>
    </xdr:to>
    <xdr:sp macro="" textlink="">
      <xdr:nvSpPr>
        <xdr:cNvPr id="3" name="Kaydırma: Dikey 2">
          <a:extLst>
            <a:ext uri="{FF2B5EF4-FFF2-40B4-BE49-F238E27FC236}">
              <a16:creationId xmlns:a16="http://schemas.microsoft.com/office/drawing/2014/main" id="{00000000-0008-0000-0A00-000003000000}"/>
            </a:ext>
          </a:extLst>
        </xdr:cNvPr>
        <xdr:cNvSpPr/>
      </xdr:nvSpPr>
      <xdr:spPr>
        <a:xfrm>
          <a:off x="6122720" y="4120737"/>
          <a:ext cx="3287487" cy="3994066"/>
        </a:xfrm>
        <a:prstGeom prst="verticalScrol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400"/>
            <a:t>   Independent Samples Test</a:t>
          </a:r>
        </a:p>
        <a:p>
          <a:pPr algn="l"/>
          <a:r>
            <a:rPr lang="tr-TR" sz="1400"/>
            <a:t>BU KISIMDA DA ÜLKELERE SORULAN BU SORULARDA ERKEKLER VE KIZLARIN</a:t>
          </a:r>
          <a:r>
            <a:rPr lang="tr-TR" sz="1400" baseline="0"/>
            <a:t> VERDİKLERİ CEVAPLAR ARASINDA ANLAMLI BİR FARK VARMI YOK MU ONU İNCELEDİK SİG(2) DEĞERİNE BAKTIĞIMIZDA GÖRÜYORUZKİ ERKEKLER VE KIZLARIN CEVAPLARI ARASINDA ANLAMLI BİR FARK YOKTUR</a:t>
          </a:r>
          <a:endParaRPr lang="tr-TR" sz="1400"/>
        </a:p>
      </xdr:txBody>
    </xdr:sp>
    <xdr:clientData/>
  </xdr:twoCellAnchor>
  <xdr:twoCellAnchor>
    <xdr:from>
      <xdr:col>34</xdr:col>
      <xdr:colOff>249382</xdr:colOff>
      <xdr:row>12</xdr:row>
      <xdr:rowOff>152400</xdr:rowOff>
    </xdr:from>
    <xdr:to>
      <xdr:col>39</xdr:col>
      <xdr:colOff>360218</xdr:colOff>
      <xdr:row>19</xdr:row>
      <xdr:rowOff>364174</xdr:rowOff>
    </xdr:to>
    <xdr:sp macro="" textlink="">
      <xdr:nvSpPr>
        <xdr:cNvPr id="5" name="Kaydırma: Dikey 4">
          <a:extLst>
            <a:ext uri="{FF2B5EF4-FFF2-40B4-BE49-F238E27FC236}">
              <a16:creationId xmlns:a16="http://schemas.microsoft.com/office/drawing/2014/main" id="{00000000-0008-0000-0A00-000005000000}"/>
            </a:ext>
          </a:extLst>
        </xdr:cNvPr>
        <xdr:cNvSpPr/>
      </xdr:nvSpPr>
      <xdr:spPr>
        <a:xfrm>
          <a:off x="21904037" y="4876800"/>
          <a:ext cx="3158836" cy="3994065"/>
        </a:xfrm>
        <a:prstGeom prst="verticalScrol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400"/>
            <a:t>   Independent Samples Test</a:t>
          </a:r>
        </a:p>
        <a:p>
          <a:pPr algn="l"/>
          <a:r>
            <a:rPr lang="tr-TR" sz="1400"/>
            <a:t>BU KISIMDA İSE 3. VE 4. SORULARIN </a:t>
          </a:r>
          <a:r>
            <a:rPr lang="tr-TR" sz="1400" baseline="0"/>
            <a:t> ORTALAMALARI ARASINDA ANLAMLI BİR FARK VARMI DİYE SORGULADIĞIMIZDA ANLAMLI BİR FARKIN OLDUĞUNU GÖZLEMLİYORUZ BU TESTİ BULGARİSTAN VVE KOLOMBİA ARASINDA YAPTIM </a:t>
          </a:r>
          <a:endParaRPr lang="tr-TR" sz="1400"/>
        </a:p>
      </xdr:txBody>
    </xdr:sp>
    <xdr:clientData/>
  </xdr:twoCellAnchor>
  <xdr:twoCellAnchor>
    <xdr:from>
      <xdr:col>34</xdr:col>
      <xdr:colOff>401781</xdr:colOff>
      <xdr:row>2</xdr:row>
      <xdr:rowOff>69273</xdr:rowOff>
    </xdr:from>
    <xdr:to>
      <xdr:col>39</xdr:col>
      <xdr:colOff>512617</xdr:colOff>
      <xdr:row>10</xdr:row>
      <xdr:rowOff>457201</xdr:rowOff>
    </xdr:to>
    <xdr:sp macro="" textlink="">
      <xdr:nvSpPr>
        <xdr:cNvPr id="7" name="Kaydırma: Dikey 6">
          <a:extLst>
            <a:ext uri="{FF2B5EF4-FFF2-40B4-BE49-F238E27FC236}">
              <a16:creationId xmlns:a16="http://schemas.microsoft.com/office/drawing/2014/main" id="{00000000-0008-0000-0A00-000007000000}"/>
            </a:ext>
          </a:extLst>
        </xdr:cNvPr>
        <xdr:cNvSpPr/>
      </xdr:nvSpPr>
      <xdr:spPr>
        <a:xfrm>
          <a:off x="22056436" y="429491"/>
          <a:ext cx="3158836" cy="3740728"/>
        </a:xfrm>
        <a:prstGeom prst="verticalScrol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400"/>
            <a:t>   Independent Samples Test</a:t>
          </a:r>
        </a:p>
        <a:p>
          <a:pPr algn="l"/>
          <a:r>
            <a:rPr lang="tr-TR" sz="1400"/>
            <a:t>BU</a:t>
          </a:r>
          <a:r>
            <a:rPr lang="tr-TR" sz="1400" baseline="0"/>
            <a:t> KISIMDA İSE 1. VE 2. SORULARIN ARASINDA ANLAMLI BİR FARK VARMI DİYE SORGULADIĞIMIZDA ANLAMLI BİR FARK OLMADIĞINI GÖZLEMLİYORUZ ANOVADA BU DÖRT SORU ARASINDA FARK YOKKEN BU İKİ SORU ARASINDA FARK ÇIKTI!!!</a:t>
          </a:r>
          <a:endParaRPr lang="tr-TR" sz="1400"/>
        </a:p>
      </xdr:txBody>
    </xdr:sp>
    <xdr:clientData/>
  </xdr:twoCellAnchor>
  <xdr:twoCellAnchor>
    <xdr:from>
      <xdr:col>9</xdr:col>
      <xdr:colOff>0</xdr:colOff>
      <xdr:row>19</xdr:row>
      <xdr:rowOff>0</xdr:rowOff>
    </xdr:from>
    <xdr:to>
      <xdr:col>13</xdr:col>
      <xdr:colOff>443345</xdr:colOff>
      <xdr:row>20</xdr:row>
      <xdr:rowOff>484909</xdr:rowOff>
    </xdr:to>
    <xdr:sp macro="" textlink="">
      <xdr:nvSpPr>
        <xdr:cNvPr id="8" name="Dikdörtgen: Eğimli 7">
          <a:hlinkClick xmlns:r="http://schemas.openxmlformats.org/officeDocument/2006/relationships" r:id="rId1"/>
          <a:extLst>
            <a:ext uri="{FF2B5EF4-FFF2-40B4-BE49-F238E27FC236}">
              <a16:creationId xmlns:a16="http://schemas.microsoft.com/office/drawing/2014/main" id="{00000000-0008-0000-0A00-000008000000}"/>
            </a:ext>
          </a:extLst>
        </xdr:cNvPr>
        <xdr:cNvSpPr/>
      </xdr:nvSpPr>
      <xdr:spPr>
        <a:xfrm>
          <a:off x="6414655" y="8506691"/>
          <a:ext cx="2881745" cy="106680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tr-TR" sz="2000" b="1">
              <a:solidFill>
                <a:schemeClr val="lt1"/>
              </a:solidFill>
              <a:effectLst/>
              <a:latin typeface="+mn-lt"/>
              <a:ea typeface="+mn-ea"/>
              <a:cs typeface="+mn-cs"/>
            </a:rPr>
            <a:t>   ANA SAYFAYA DÖN</a:t>
          </a:r>
          <a:endParaRPr lang="tr-TR" sz="2000" b="1">
            <a:effectLst/>
          </a:endParaRP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xdr:colOff>
          <xdr:row>4</xdr:row>
          <xdr:rowOff>121920</xdr:rowOff>
        </xdr:from>
        <xdr:to>
          <xdr:col>6</xdr:col>
          <xdr:colOff>403860</xdr:colOff>
          <xdr:row>16</xdr:row>
          <xdr:rowOff>144780</xdr:rowOff>
        </xdr:to>
        <xdr:sp macro="" textlink="">
          <xdr:nvSpPr>
            <xdr:cNvPr id="11265" name="ListBox1" hidden="1">
              <a:extLst>
                <a:ext uri="{63B3BB69-23CF-44E3-9099-C40C66FF867C}">
                  <a14:compatExt spid="_x0000_s11265"/>
                </a:ext>
                <a:ext uri="{FF2B5EF4-FFF2-40B4-BE49-F238E27FC236}">
                  <a16:creationId xmlns:a16="http://schemas.microsoft.com/office/drawing/2014/main" id="{00000000-0008-0000-0B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6</xdr:col>
      <xdr:colOff>563880</xdr:colOff>
      <xdr:row>4</xdr:row>
      <xdr:rowOff>91440</xdr:rowOff>
    </xdr:from>
    <xdr:to>
      <xdr:col>16</xdr:col>
      <xdr:colOff>510540</xdr:colOff>
      <xdr:row>17</xdr:row>
      <xdr:rowOff>68580</xdr:rowOff>
    </xdr:to>
    <xdr:graphicFrame macro="">
      <xdr:nvGraphicFramePr>
        <xdr:cNvPr id="2" name="Grafik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601980</xdr:colOff>
      <xdr:row>19</xdr:row>
      <xdr:rowOff>144780</xdr:rowOff>
    </xdr:from>
    <xdr:to>
      <xdr:col>11</xdr:col>
      <xdr:colOff>228600</xdr:colOff>
      <xdr:row>24</xdr:row>
      <xdr:rowOff>144780</xdr:rowOff>
    </xdr:to>
    <xdr:sp macro="" textlink="">
      <xdr:nvSpPr>
        <xdr:cNvPr id="3" name="Dikdörtgen: Eğimli 2">
          <a:hlinkClick xmlns:r="http://schemas.openxmlformats.org/officeDocument/2006/relationships" r:id="rId2"/>
          <a:extLst>
            <a:ext uri="{FF2B5EF4-FFF2-40B4-BE49-F238E27FC236}">
              <a16:creationId xmlns:a16="http://schemas.microsoft.com/office/drawing/2014/main" id="{00000000-0008-0000-0B00-000003000000}"/>
            </a:ext>
          </a:extLst>
        </xdr:cNvPr>
        <xdr:cNvSpPr/>
      </xdr:nvSpPr>
      <xdr:spPr>
        <a:xfrm>
          <a:off x="4914900" y="3794760"/>
          <a:ext cx="2400300" cy="91440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4400"/>
            <a:t>   TIKLA</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53340</xdr:colOff>
          <xdr:row>0</xdr:row>
          <xdr:rowOff>38100</xdr:rowOff>
        </xdr:from>
        <xdr:to>
          <xdr:col>10</xdr:col>
          <xdr:colOff>205740</xdr:colOff>
          <xdr:row>21</xdr:row>
          <xdr:rowOff>106680</xdr:rowOff>
        </xdr:to>
        <xdr:sp macro="" textlink="">
          <xdr:nvSpPr>
            <xdr:cNvPr id="14337" name="ListBox1" hidden="1">
              <a:extLst>
                <a:ext uri="{63B3BB69-23CF-44E3-9099-C40C66FF867C}">
                  <a14:compatExt spid="_x0000_s14337"/>
                </a:ext>
                <a:ext uri="{FF2B5EF4-FFF2-40B4-BE49-F238E27FC236}">
                  <a16:creationId xmlns:a16="http://schemas.microsoft.com/office/drawing/2014/main" id="{00000000-0008-0000-0C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10</xdr:col>
      <xdr:colOff>236220</xdr:colOff>
      <xdr:row>0</xdr:row>
      <xdr:rowOff>38100</xdr:rowOff>
    </xdr:from>
    <xdr:to>
      <xdr:col>21</xdr:col>
      <xdr:colOff>228600</xdr:colOff>
      <xdr:row>23</xdr:row>
      <xdr:rowOff>83820</xdr:rowOff>
    </xdr:to>
    <xdr:graphicFrame macro="">
      <xdr:nvGraphicFramePr>
        <xdr:cNvPr id="2" name="Grafik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381000</xdr:colOff>
      <xdr:row>22</xdr:row>
      <xdr:rowOff>99060</xdr:rowOff>
    </xdr:from>
    <xdr:to>
      <xdr:col>10</xdr:col>
      <xdr:colOff>129540</xdr:colOff>
      <xdr:row>27</xdr:row>
      <xdr:rowOff>7620</xdr:rowOff>
    </xdr:to>
    <xdr:sp macro="" textlink="">
      <xdr:nvSpPr>
        <xdr:cNvPr id="3" name="Dikdörtgen: Eğimli 2">
          <a:hlinkClick xmlns:r="http://schemas.openxmlformats.org/officeDocument/2006/relationships" r:id="rId2"/>
          <a:extLst>
            <a:ext uri="{FF2B5EF4-FFF2-40B4-BE49-F238E27FC236}">
              <a16:creationId xmlns:a16="http://schemas.microsoft.com/office/drawing/2014/main" id="{00000000-0008-0000-0C00-000003000000}"/>
            </a:ext>
          </a:extLst>
        </xdr:cNvPr>
        <xdr:cNvSpPr/>
      </xdr:nvSpPr>
      <xdr:spPr>
        <a:xfrm>
          <a:off x="4991100" y="4274820"/>
          <a:ext cx="1577340" cy="82296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tr-TR"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4.xml"/><Relationship Id="rId4" Type="http://schemas.openxmlformats.org/officeDocument/2006/relationships/image" Target="../media/image2.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5.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3.vml"/><Relationship Id="rId1" Type="http://schemas.openxmlformats.org/officeDocument/2006/relationships/drawing" Target="../drawings/drawing7.xml"/><Relationship Id="rId4" Type="http://schemas.openxmlformats.org/officeDocument/2006/relationships/image" Target="../media/image4.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4.vml"/><Relationship Id="rId1" Type="http://schemas.openxmlformats.org/officeDocument/2006/relationships/drawing" Target="../drawings/drawing10.xml"/><Relationship Id="rId4" Type="http://schemas.openxmlformats.org/officeDocument/2006/relationships/image" Target="../media/image7.emf"/></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drawing" Target="../drawings/drawing12.xml"/><Relationship Id="rId4" Type="http://schemas.openxmlformats.org/officeDocument/2006/relationships/image" Target="../media/image8.emf"/></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13.xml"/><Relationship Id="rId4" Type="http://schemas.openxmlformats.org/officeDocument/2006/relationships/image" Target="../media/image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427AE-9F44-489E-A48F-65D83D8DE5E6}">
  <sheetPr codeName="Sayfa2"/>
  <dimension ref="A1:AZ125"/>
  <sheetViews>
    <sheetView showGridLines="0" showRowColHeaders="0" zoomScale="55" zoomScaleNormal="55" workbookViewId="0">
      <selection sqref="A1:J8"/>
    </sheetView>
  </sheetViews>
  <sheetFormatPr defaultRowHeight="14.4"/>
  <sheetData>
    <row r="1" spans="1:52">
      <c r="A1" s="135"/>
      <c r="B1" s="135"/>
      <c r="C1" s="135"/>
      <c r="D1" s="135"/>
      <c r="E1" s="135"/>
      <c r="F1" s="135"/>
      <c r="G1" s="135"/>
      <c r="H1" s="135"/>
      <c r="I1" s="135"/>
      <c r="J1" s="135"/>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c r="A2" s="135"/>
      <c r="B2" s="135"/>
      <c r="C2" s="135"/>
      <c r="D2" s="135"/>
      <c r="E2" s="135"/>
      <c r="F2" s="135"/>
      <c r="G2" s="135"/>
      <c r="H2" s="135"/>
      <c r="I2" s="135"/>
      <c r="J2" s="13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row>
    <row r="3" spans="1:52">
      <c r="A3" s="135"/>
      <c r="B3" s="135"/>
      <c r="C3" s="135"/>
      <c r="D3" s="135"/>
      <c r="E3" s="135"/>
      <c r="F3" s="135"/>
      <c r="G3" s="135"/>
      <c r="H3" s="135"/>
      <c r="I3" s="135"/>
      <c r="J3" s="13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row>
    <row r="4" spans="1:52">
      <c r="A4" s="135"/>
      <c r="B4" s="135"/>
      <c r="C4" s="135"/>
      <c r="D4" s="135"/>
      <c r="E4" s="135"/>
      <c r="F4" s="135"/>
      <c r="G4" s="135"/>
      <c r="H4" s="135"/>
      <c r="I4" s="135"/>
      <c r="J4" s="135"/>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row>
    <row r="5" spans="1:52">
      <c r="A5" s="135"/>
      <c r="B5" s="135"/>
      <c r="C5" s="135"/>
      <c r="D5" s="135"/>
      <c r="E5" s="135"/>
      <c r="F5" s="135"/>
      <c r="G5" s="135"/>
      <c r="H5" s="135"/>
      <c r="I5" s="135"/>
      <c r="J5" s="135"/>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row r="6" spans="1:52">
      <c r="A6" s="135"/>
      <c r="B6" s="135"/>
      <c r="C6" s="135"/>
      <c r="D6" s="135"/>
      <c r="E6" s="135"/>
      <c r="F6" s="135"/>
      <c r="G6" s="135"/>
      <c r="H6" s="135"/>
      <c r="I6" s="135"/>
      <c r="J6" s="135"/>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row>
    <row r="7" spans="1:52">
      <c r="A7" s="135"/>
      <c r="B7" s="135"/>
      <c r="C7" s="135"/>
      <c r="D7" s="135"/>
      <c r="E7" s="135"/>
      <c r="F7" s="135"/>
      <c r="G7" s="135"/>
      <c r="H7" s="135"/>
      <c r="I7" s="135"/>
      <c r="J7" s="135"/>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row>
    <row r="8" spans="1:52">
      <c r="A8" s="135"/>
      <c r="B8" s="135"/>
      <c r="C8" s="135"/>
      <c r="D8" s="135"/>
      <c r="E8" s="135"/>
      <c r="F8" s="135"/>
      <c r="G8" s="135"/>
      <c r="H8" s="135"/>
      <c r="I8" s="135"/>
      <c r="J8" s="135"/>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row>
    <row r="9" spans="1:52">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row>
    <row r="10" spans="1:52">
      <c r="A10" s="1"/>
      <c r="B10" s="1"/>
      <c r="C10" s="1"/>
      <c r="D10" s="1"/>
      <c r="E10" s="1"/>
      <c r="F10" s="1"/>
      <c r="G10" s="1"/>
      <c r="H10" s="1"/>
      <c r="I10" s="1"/>
      <c r="J10" s="1"/>
      <c r="K10" s="1"/>
      <c r="L10" s="1"/>
      <c r="M10" s="1"/>
      <c r="N10" s="1"/>
      <c r="O10" s="1"/>
      <c r="P10" s="1"/>
      <c r="Q10" s="1"/>
      <c r="R10" s="1"/>
      <c r="S10" s="1"/>
      <c r="T10" s="1"/>
      <c r="U10" s="1"/>
      <c r="V10" s="1"/>
      <c r="W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row>
    <row r="11" spans="1:52">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row>
    <row r="12" spans="1:52">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row>
    <row r="13" spans="1:52">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row>
    <row r="14" spans="1:52">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row>
    <row r="15" spans="1:52">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row>
    <row r="16" spans="1:52">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row>
    <row r="17" spans="1:52">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row>
    <row r="18" spans="1:52">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row>
    <row r="19" spans="1:52">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row>
    <row r="20" spans="1:52">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row>
    <row r="21" spans="1:52">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row>
    <row r="22" spans="1:52">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row>
    <row r="23" spans="1:52">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row>
    <row r="24" spans="1:52">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row>
    <row r="25" spans="1:52">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row>
    <row r="26" spans="1:52">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row>
    <row r="27" spans="1:52">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row>
    <row r="28" spans="1:52">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row>
    <row r="29" spans="1:52">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row>
    <row r="30" spans="1:52">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row>
    <row r="31" spans="1:52">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row>
    <row r="32" spans="1:52">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row>
    <row r="33" spans="1:52">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row>
    <row r="34" spans="1:52">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row>
    <row r="35" spans="1:52">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row>
    <row r="36" spans="1:52">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row>
    <row r="37" spans="1:52">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row>
    <row r="38" spans="1:52">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row>
    <row r="39" spans="1:52">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row>
    <row r="40" spans="1:52">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row>
    <row r="41" spans="1:52">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row>
    <row r="42" spans="1:5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row>
    <row r="43" spans="1:5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row>
    <row r="44" spans="1:5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row>
    <row r="45" spans="1:5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row>
    <row r="46" spans="1:5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row>
    <row r="47" spans="1:5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row>
    <row r="48" spans="1:5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row>
    <row r="49" spans="1:5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row>
    <row r="50" spans="1:52">
      <c r="A50" s="1"/>
      <c r="B50" s="1"/>
      <c r="C50" s="1"/>
      <c r="D50" s="1"/>
      <c r="E50" s="1"/>
      <c r="F50" s="1"/>
      <c r="G50" s="1"/>
      <c r="H50" s="1"/>
      <c r="I50" s="1"/>
      <c r="J50" s="1"/>
      <c r="K50" s="1"/>
      <c r="L50" s="1"/>
      <c r="M50" s="1"/>
      <c r="N50" s="1" t="s">
        <v>174</v>
      </c>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row>
    <row r="51" spans="1:5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row>
    <row r="52" spans="1:5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row>
    <row r="53" spans="1:5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row>
    <row r="54" spans="1:5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row>
    <row r="55" spans="1:5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row>
    <row r="56" spans="1:5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row>
    <row r="57" spans="1:5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row>
    <row r="58" spans="1:5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row>
    <row r="59" spans="1:5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row>
    <row r="60" spans="1:5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row>
    <row r="61" spans="1:5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row>
    <row r="62" spans="1:5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row>
    <row r="63" spans="1:5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row>
    <row r="64" spans="1:5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row>
    <row r="65" spans="1:5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row>
    <row r="66" spans="1:5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row>
    <row r="67" spans="1:5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row>
    <row r="68" spans="1:5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row>
    <row r="69" spans="1:5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row>
    <row r="70" spans="1:5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row>
    <row r="71" spans="1:5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row>
    <row r="72" spans="1:5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row>
    <row r="73" spans="1:5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row>
    <row r="74" spans="1:5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row>
    <row r="75" spans="1:5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row>
    <row r="76" spans="1:5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row>
    <row r="77" spans="1:5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row>
    <row r="78" spans="1:5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row>
    <row r="79" spans="1:5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row>
    <row r="80" spans="1:5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row>
    <row r="81" spans="1:5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row>
    <row r="82" spans="1:5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row>
    <row r="83" spans="1:5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row>
    <row r="84" spans="1:5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row>
    <row r="85" spans="1:5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row>
    <row r="86" spans="1:5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row>
    <row r="87" spans="1:5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row>
    <row r="88" spans="1:5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row>
    <row r="89" spans="1:5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row>
    <row r="90" spans="1:5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row>
    <row r="91" spans="1:5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row>
    <row r="92" spans="1:5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row>
    <row r="93" spans="1:5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row>
    <row r="94" spans="1:5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row>
    <row r="95" spans="1:5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row>
    <row r="96" spans="1:5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row>
    <row r="97" spans="1:5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row>
    <row r="98" spans="1:5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row>
    <row r="99" spans="1:5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row>
    <row r="100" spans="1:5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row>
    <row r="101" spans="1:5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row>
    <row r="102" spans="1:5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row>
    <row r="103" spans="1:5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row>
    <row r="104" spans="1:5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row>
    <row r="105" spans="1:5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row>
    <row r="106" spans="1:5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row>
    <row r="107" spans="1:5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row>
    <row r="108" spans="1:5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row>
    <row r="109" spans="1:5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row>
    <row r="110" spans="1:5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row>
    <row r="111" spans="1:5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row>
    <row r="112" spans="1:5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row>
    <row r="113" spans="1:5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row>
    <row r="114" spans="1:5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row>
    <row r="115" spans="1:5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row>
    <row r="116" spans="1:5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row>
    <row r="117" spans="1:5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row>
    <row r="118" spans="1:5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row>
    <row r="119" spans="1:5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row>
    <row r="120" spans="1:5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row>
    <row r="121" spans="1:5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row>
    <row r="122" spans="1:5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row>
    <row r="123" spans="1:5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row>
    <row r="124" spans="1:5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row>
    <row r="125" spans="1:5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row>
  </sheetData>
  <mergeCells count="1">
    <mergeCell ref="A1:J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BBC05-EDBA-4CEC-B7B2-8A55CFD1F908}">
  <sheetPr codeName="Sayfa3"/>
  <dimension ref="A1:BE321"/>
  <sheetViews>
    <sheetView zoomScale="70" zoomScaleNormal="70" workbookViewId="0"/>
  </sheetViews>
  <sheetFormatPr defaultRowHeight="14.4"/>
  <cols>
    <col min="1" max="1" width="22.33203125" bestFit="1" customWidth="1"/>
    <col min="4" max="4" width="12" bestFit="1" customWidth="1"/>
    <col min="6" max="6" width="20.44140625" bestFit="1" customWidth="1"/>
    <col min="7" max="7" width="15" bestFit="1" customWidth="1"/>
    <col min="8" max="8" width="15.88671875" bestFit="1" customWidth="1"/>
    <col min="9" max="9" width="30.109375" bestFit="1" customWidth="1"/>
  </cols>
  <sheetData>
    <row r="1" spans="1:57" ht="42" customHeight="1">
      <c r="A1" s="3" t="s">
        <v>0</v>
      </c>
      <c r="B1" s="4" t="s">
        <v>1</v>
      </c>
      <c r="C1" s="4" t="s">
        <v>2</v>
      </c>
      <c r="D1" s="4" t="s">
        <v>3</v>
      </c>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2" spans="1:57">
      <c r="A2" s="5" t="s">
        <v>4</v>
      </c>
      <c r="B2" s="6">
        <v>288195</v>
      </c>
      <c r="C2" s="6">
        <v>14273</v>
      </c>
      <c r="D2" s="7">
        <f t="shared" ref="D2:D33" si="0">B2/C2</f>
        <v>20.191620542282632</v>
      </c>
      <c r="E2" s="1"/>
      <c r="F2" s="136" t="s">
        <v>83</v>
      </c>
      <c r="G2" s="137"/>
      <c r="H2" s="137"/>
      <c r="I2" s="138"/>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row>
    <row r="3" spans="1:57">
      <c r="A3" s="5" t="s">
        <v>5</v>
      </c>
      <c r="B3" s="6">
        <v>84473</v>
      </c>
      <c r="C3" s="6">
        <v>6802</v>
      </c>
      <c r="D3" s="7">
        <f t="shared" si="0"/>
        <v>12.41884739782417</v>
      </c>
      <c r="E3" s="1"/>
      <c r="F3" s="6" t="s">
        <v>84</v>
      </c>
      <c r="G3" s="6" t="s">
        <v>85</v>
      </c>
      <c r="H3" s="6" t="s">
        <v>86</v>
      </c>
      <c r="I3" s="6" t="s">
        <v>87</v>
      </c>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row>
    <row r="4" spans="1:57">
      <c r="A4" s="5" t="s">
        <v>6</v>
      </c>
      <c r="B4" s="6">
        <v>126031</v>
      </c>
      <c r="C4" s="6">
        <v>8475</v>
      </c>
      <c r="D4" s="7">
        <f t="shared" si="0"/>
        <v>14.870914454277287</v>
      </c>
      <c r="E4" s="1"/>
      <c r="F4" s="6" t="s">
        <v>88</v>
      </c>
      <c r="G4" s="9">
        <v>3.2313442097304654</v>
      </c>
      <c r="H4" s="9">
        <v>3.7015265004952798</v>
      </c>
      <c r="I4" s="9">
        <v>4.3475578003528152</v>
      </c>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row>
    <row r="5" spans="1:57">
      <c r="A5" s="5" t="s">
        <v>7</v>
      </c>
      <c r="B5" s="6">
        <v>388205</v>
      </c>
      <c r="C5" s="6">
        <v>22653</v>
      </c>
      <c r="D5" s="7">
        <f t="shared" si="0"/>
        <v>17.137023793758001</v>
      </c>
      <c r="E5" s="1"/>
      <c r="F5" s="6" t="s">
        <v>89</v>
      </c>
      <c r="G5" s="9">
        <v>0.27054479931869113</v>
      </c>
      <c r="H5" s="9">
        <v>0.27054479931869113</v>
      </c>
      <c r="I5" s="9">
        <v>0.27054479931869113</v>
      </c>
      <c r="J5" s="1"/>
      <c r="K5" s="1"/>
      <c r="L5" s="1"/>
      <c r="M5" s="1"/>
      <c r="N5" s="1"/>
      <c r="O5" s="1"/>
      <c r="P5" s="1"/>
      <c r="Q5" s="1"/>
      <c r="R5">
        <v>37</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row>
    <row r="6" spans="1:57">
      <c r="A6" s="5" t="s">
        <v>8</v>
      </c>
      <c r="B6" s="6">
        <v>239492</v>
      </c>
      <c r="C6" s="6">
        <v>7621</v>
      </c>
      <c r="D6" s="7">
        <f t="shared" si="0"/>
        <v>31.425272273979793</v>
      </c>
      <c r="E6" s="1"/>
      <c r="F6" s="6" t="s">
        <v>90</v>
      </c>
      <c r="G6" s="9">
        <v>11.480782934355712</v>
      </c>
      <c r="H6" s="9">
        <v>17.355441068765604</v>
      </c>
      <c r="I6" s="9">
        <v>24.612121391099851</v>
      </c>
      <c r="J6" s="1"/>
      <c r="K6" s="1"/>
      <c r="L6" s="1"/>
      <c r="M6" s="1"/>
      <c r="N6" s="1"/>
      <c r="O6" s="1"/>
      <c r="P6" s="1"/>
      <c r="Q6" s="1"/>
      <c r="R6">
        <v>53</v>
      </c>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row>
    <row r="7" spans="1:57">
      <c r="A7" s="5" t="s">
        <v>9</v>
      </c>
      <c r="B7" s="6">
        <v>856081</v>
      </c>
      <c r="C7" s="6">
        <v>7522</v>
      </c>
      <c r="D7" s="7">
        <f t="shared" si="0"/>
        <v>113.81028981653816</v>
      </c>
      <c r="E7" s="1"/>
      <c r="F7" s="6" t="s">
        <v>91</v>
      </c>
      <c r="G7" s="9">
        <v>0.53495227802031298</v>
      </c>
      <c r="H7" s="9">
        <v>0.53495227802031298</v>
      </c>
      <c r="I7" s="9">
        <v>0.53495227802031298</v>
      </c>
      <c r="J7" s="1"/>
      <c r="K7" s="1"/>
      <c r="L7" s="1"/>
      <c r="M7" s="1"/>
      <c r="N7" s="1"/>
      <c r="O7" s="1"/>
      <c r="P7" s="1"/>
      <c r="Q7" s="1"/>
      <c r="R7">
        <v>43</v>
      </c>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row>
    <row r="8" spans="1:57">
      <c r="A8" s="5" t="s">
        <v>10</v>
      </c>
      <c r="B8" s="6">
        <v>92013</v>
      </c>
      <c r="C8" s="6">
        <v>7019</v>
      </c>
      <c r="D8" s="7">
        <f t="shared" si="0"/>
        <v>13.10913235503633</v>
      </c>
      <c r="E8" s="1"/>
      <c r="F8" s="6" t="s">
        <v>92</v>
      </c>
      <c r="G8" s="6">
        <v>4039</v>
      </c>
      <c r="H8" s="6">
        <v>3294</v>
      </c>
      <c r="I8" s="6">
        <v>1</v>
      </c>
      <c r="J8" s="1"/>
      <c r="K8" s="1"/>
      <c r="L8" s="1"/>
      <c r="M8" s="1"/>
      <c r="N8" s="1"/>
      <c r="O8" s="1"/>
      <c r="P8" s="1"/>
      <c r="Q8" s="1"/>
      <c r="R8">
        <v>24</v>
      </c>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row>
    <row r="9" spans="1:57">
      <c r="A9" s="5" t="s">
        <v>11</v>
      </c>
      <c r="B9" s="6">
        <v>68313</v>
      </c>
      <c r="C9" s="6">
        <v>7657</v>
      </c>
      <c r="D9" s="7">
        <f t="shared" si="0"/>
        <v>8.9216403291106179</v>
      </c>
      <c r="E9" s="1"/>
      <c r="F9" s="6" t="s">
        <v>93</v>
      </c>
      <c r="G9" s="6">
        <v>4439086</v>
      </c>
      <c r="H9" s="6">
        <v>35943</v>
      </c>
      <c r="I9" s="6">
        <v>854.4</v>
      </c>
      <c r="J9" s="1"/>
      <c r="K9" s="1"/>
      <c r="L9" s="1"/>
      <c r="M9" s="1"/>
      <c r="N9" s="1"/>
      <c r="O9" s="1"/>
      <c r="P9" s="1"/>
      <c r="Q9" s="1"/>
      <c r="R9">
        <v>67</v>
      </c>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row>
    <row r="10" spans="1:57">
      <c r="A10" s="5" t="s">
        <v>12</v>
      </c>
      <c r="B10" s="6">
        <v>12257</v>
      </c>
      <c r="C10" s="6">
        <v>5316</v>
      </c>
      <c r="D10" s="7">
        <f t="shared" si="0"/>
        <v>2.3056809631301731</v>
      </c>
      <c r="E10" s="1"/>
      <c r="F10" s="1"/>
      <c r="G10" s="1"/>
      <c r="H10" s="1"/>
      <c r="I10" s="1"/>
      <c r="J10" s="1"/>
      <c r="K10" s="1"/>
      <c r="L10" s="1"/>
      <c r="M10" s="1"/>
      <c r="N10" s="1"/>
      <c r="O10" s="1"/>
      <c r="P10" s="1"/>
      <c r="Q10" s="1"/>
      <c r="R10">
        <v>79</v>
      </c>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row>
    <row r="11" spans="1:57">
      <c r="A11" s="5" t="s">
        <v>13</v>
      </c>
      <c r="B11" s="6">
        <v>58325</v>
      </c>
      <c r="C11" s="6">
        <v>5649</v>
      </c>
      <c r="D11" s="7">
        <f t="shared" si="0"/>
        <v>10.324836254204284</v>
      </c>
      <c r="E11" s="1"/>
      <c r="F11" s="1"/>
      <c r="G11" s="1"/>
      <c r="H11" s="1"/>
      <c r="I11" s="1"/>
      <c r="J11" s="1"/>
      <c r="K11" s="1"/>
      <c r="L11" s="1"/>
      <c r="M11" s="1"/>
      <c r="N11" s="1"/>
      <c r="O11" s="1"/>
      <c r="P11" s="1"/>
      <c r="Q11" s="1"/>
      <c r="R11">
        <v>19</v>
      </c>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row>
    <row r="12" spans="1:57">
      <c r="A12" s="5" t="s">
        <v>14</v>
      </c>
      <c r="B12" s="6">
        <v>828196</v>
      </c>
      <c r="C12" s="6">
        <v>6308</v>
      </c>
      <c r="D12" s="7">
        <f t="shared" si="0"/>
        <v>131.29296131896004</v>
      </c>
      <c r="E12" s="1"/>
      <c r="F12" s="1"/>
      <c r="G12" s="1"/>
      <c r="H12" s="1"/>
      <c r="I12" s="1"/>
      <c r="J12" s="1"/>
      <c r="K12" s="1"/>
      <c r="L12" s="1"/>
      <c r="M12" s="1"/>
      <c r="N12" s="1"/>
      <c r="O12" s="1"/>
      <c r="P12" s="1"/>
      <c r="Q12" s="1"/>
      <c r="R12">
        <v>35</v>
      </c>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row>
    <row r="13" spans="1:57">
      <c r="A13" s="5" t="s">
        <v>15</v>
      </c>
      <c r="B13" s="6">
        <v>739792</v>
      </c>
      <c r="C13" s="6">
        <v>5451</v>
      </c>
      <c r="D13" s="7">
        <f t="shared" si="0"/>
        <v>135.71674922032653</v>
      </c>
      <c r="E13" s="1"/>
      <c r="F13" s="1"/>
      <c r="G13" s="1"/>
      <c r="H13" s="1"/>
      <c r="I13" s="1"/>
      <c r="J13" s="1"/>
      <c r="K13" s="1"/>
      <c r="L13" s="1"/>
      <c r="M13" s="1"/>
      <c r="N13" s="1"/>
      <c r="O13" s="1"/>
      <c r="P13" s="1"/>
      <c r="Q13" s="1"/>
      <c r="R13">
        <v>70</v>
      </c>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row>
    <row r="14" spans="1:57">
      <c r="A14" s="5" t="s">
        <v>16</v>
      </c>
      <c r="B14" s="6">
        <v>102868</v>
      </c>
      <c r="C14" s="6">
        <v>6403</v>
      </c>
      <c r="D14" s="7">
        <f t="shared" si="0"/>
        <v>16.065594252694051</v>
      </c>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row>
    <row r="15" spans="1:57">
      <c r="A15" s="5" t="s">
        <v>17</v>
      </c>
      <c r="B15" s="6">
        <v>96838</v>
      </c>
      <c r="C15" s="6">
        <v>5132</v>
      </c>
      <c r="D15" s="7">
        <f t="shared" si="0"/>
        <v>18.869446609508962</v>
      </c>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row>
    <row r="16" spans="1:57">
      <c r="A16" s="5" t="s">
        <v>18</v>
      </c>
      <c r="B16" s="6">
        <v>4232</v>
      </c>
      <c r="C16" s="6">
        <v>3294</v>
      </c>
      <c r="D16" s="7">
        <f t="shared" si="0"/>
        <v>1.2847601700060716</v>
      </c>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row>
    <row r="17" spans="1:57">
      <c r="A17" s="5" t="s">
        <v>19</v>
      </c>
      <c r="B17" s="6">
        <v>61999</v>
      </c>
      <c r="C17" s="6">
        <v>5577</v>
      </c>
      <c r="D17" s="7">
        <f t="shared" si="0"/>
        <v>11.116908732293348</v>
      </c>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row>
    <row r="18" spans="1:57">
      <c r="A18" s="5" t="s">
        <v>20</v>
      </c>
      <c r="B18" s="6">
        <v>136848</v>
      </c>
      <c r="C18" s="6">
        <v>6623</v>
      </c>
      <c r="D18" s="7">
        <f t="shared" si="0"/>
        <v>20.662539634606674</v>
      </c>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row>
    <row r="19" spans="1:57">
      <c r="A19" s="5" t="s">
        <v>21</v>
      </c>
      <c r="B19" s="6">
        <v>616185</v>
      </c>
      <c r="C19" s="6">
        <v>11785</v>
      </c>
      <c r="D19" s="7">
        <f t="shared" si="0"/>
        <v>52.285532456512513</v>
      </c>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row>
    <row r="20" spans="1:57">
      <c r="A20" s="5" t="s">
        <v>22</v>
      </c>
      <c r="B20" s="6">
        <v>1186849</v>
      </c>
      <c r="C20" s="6">
        <v>6109</v>
      </c>
      <c r="D20" s="7">
        <f t="shared" si="0"/>
        <v>194.27876902930103</v>
      </c>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row>
    <row r="21" spans="1:57">
      <c r="A21" s="5" t="s">
        <v>23</v>
      </c>
      <c r="B21" s="6">
        <v>517040</v>
      </c>
      <c r="C21" s="6">
        <v>6650</v>
      </c>
      <c r="D21" s="7">
        <f t="shared" si="0"/>
        <v>77.750375939849619</v>
      </c>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row>
    <row r="22" spans="1:57">
      <c r="A22" s="5" t="s">
        <v>24</v>
      </c>
      <c r="B22" s="6">
        <v>17977</v>
      </c>
      <c r="C22" s="6">
        <v>5303</v>
      </c>
      <c r="D22" s="7">
        <f t="shared" si="0"/>
        <v>3.389967942673958</v>
      </c>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row>
    <row r="23" spans="1:57">
      <c r="A23" s="5" t="s">
        <v>25</v>
      </c>
      <c r="B23" s="6">
        <v>27075</v>
      </c>
      <c r="C23" s="6">
        <v>6885</v>
      </c>
      <c r="D23" s="7">
        <f t="shared" si="0"/>
        <v>3.9324618736383443</v>
      </c>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row>
    <row r="24" spans="1:57">
      <c r="A24" s="5" t="s">
        <v>26</v>
      </c>
      <c r="B24" s="6">
        <v>6291</v>
      </c>
      <c r="C24" s="6">
        <v>5230</v>
      </c>
      <c r="D24" s="7">
        <f t="shared" si="0"/>
        <v>1.2028680688336519</v>
      </c>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row>
    <row r="25" spans="1:57">
      <c r="A25" s="5" t="s">
        <v>27</v>
      </c>
      <c r="B25" s="6">
        <v>2231751</v>
      </c>
      <c r="C25" s="6">
        <v>7299</v>
      </c>
      <c r="D25" s="7">
        <f t="shared" si="0"/>
        <v>305.76120016440609</v>
      </c>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row>
    <row r="26" spans="1:57">
      <c r="A26" s="5" t="s">
        <v>28</v>
      </c>
      <c r="B26" s="6">
        <v>208704</v>
      </c>
      <c r="C26" s="6">
        <v>4765</v>
      </c>
      <c r="D26" s="7">
        <f t="shared" si="0"/>
        <v>43.799370409234001</v>
      </c>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row>
    <row r="27" spans="1:57">
      <c r="A27" s="5" t="s">
        <v>29</v>
      </c>
      <c r="B27" s="6">
        <v>59700</v>
      </c>
      <c r="C27" s="6">
        <v>6173</v>
      </c>
      <c r="D27" s="7">
        <f t="shared" si="0"/>
        <v>9.6711485501376959</v>
      </c>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row>
    <row r="28" spans="1:57">
      <c r="A28" s="5" t="s">
        <v>30</v>
      </c>
      <c r="B28" s="6">
        <v>60968</v>
      </c>
      <c r="C28" s="6">
        <v>5813</v>
      </c>
      <c r="D28" s="7">
        <f t="shared" si="0"/>
        <v>10.48821606743506</v>
      </c>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row>
    <row r="29" spans="1:57">
      <c r="A29" s="5" t="s">
        <v>31</v>
      </c>
      <c r="B29" s="6">
        <v>354020</v>
      </c>
      <c r="C29" s="6">
        <v>5625</v>
      </c>
      <c r="D29" s="7">
        <f t="shared" si="0"/>
        <v>62.936888888888888</v>
      </c>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row>
    <row r="30" spans="1:57">
      <c r="A30" s="5" t="s">
        <v>32</v>
      </c>
      <c r="B30" s="6">
        <v>112977</v>
      </c>
      <c r="C30" s="6">
        <v>5932</v>
      </c>
      <c r="D30" s="7">
        <f t="shared" si="0"/>
        <v>19.045347269049223</v>
      </c>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row>
    <row r="31" spans="1:57">
      <c r="A31" s="5" t="s">
        <v>33</v>
      </c>
      <c r="B31" s="6">
        <v>51526</v>
      </c>
      <c r="C31" s="6">
        <v>5965</v>
      </c>
      <c r="D31" s="7">
        <f t="shared" si="0"/>
        <v>8.638055322715843</v>
      </c>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row>
    <row r="32" spans="1:57">
      <c r="A32" s="5" t="s">
        <v>34</v>
      </c>
      <c r="B32" s="6">
        <v>17501</v>
      </c>
      <c r="C32" s="6">
        <v>6401</v>
      </c>
      <c r="D32" s="7">
        <f t="shared" si="0"/>
        <v>2.7341040462427744</v>
      </c>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row>
    <row r="33" spans="1:57">
      <c r="A33" s="5" t="s">
        <v>35</v>
      </c>
      <c r="B33" s="6">
        <v>454168</v>
      </c>
      <c r="C33" s="6">
        <v>35943</v>
      </c>
      <c r="D33" s="7">
        <f t="shared" si="0"/>
        <v>12.635784436468853</v>
      </c>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row>
    <row r="34" spans="1:57">
      <c r="A34" s="5" t="s">
        <v>36</v>
      </c>
      <c r="B34" s="6">
        <v>108622</v>
      </c>
      <c r="C34" s="6">
        <v>5504</v>
      </c>
      <c r="D34" s="7">
        <f t="shared" ref="D34:D65" si="1">B34/C34</f>
        <v>19.735101744186046</v>
      </c>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row>
    <row r="35" spans="1:57">
      <c r="A35" s="5" t="s">
        <v>37</v>
      </c>
      <c r="B35" s="6">
        <v>80590</v>
      </c>
      <c r="C35" s="6">
        <v>5822</v>
      </c>
      <c r="D35" s="7">
        <f t="shared" si="1"/>
        <v>13.842322226039162</v>
      </c>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row>
    <row r="36" spans="1:57">
      <c r="A36" s="5" t="s">
        <v>38</v>
      </c>
      <c r="B36" s="6">
        <v>1218693</v>
      </c>
      <c r="C36" s="6">
        <v>6890</v>
      </c>
      <c r="D36" s="7">
        <f t="shared" si="1"/>
        <v>176.87851959361393</v>
      </c>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row>
    <row r="37" spans="1:57">
      <c r="A37" s="5" t="s">
        <v>39</v>
      </c>
      <c r="B37" s="6">
        <v>703991</v>
      </c>
      <c r="C37" s="6">
        <v>13818</v>
      </c>
      <c r="D37" s="7">
        <f t="shared" si="1"/>
        <v>50.947387465624544</v>
      </c>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row>
    <row r="38" spans="1:57">
      <c r="A38" s="5" t="s">
        <v>40</v>
      </c>
      <c r="B38" s="6">
        <v>4133719</v>
      </c>
      <c r="C38" s="6">
        <v>4838</v>
      </c>
      <c r="D38" s="7">
        <f t="shared" si="1"/>
        <v>854.42724266225719</v>
      </c>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row>
    <row r="39" spans="1:57">
      <c r="A39" s="5" t="s">
        <v>41</v>
      </c>
      <c r="B39" s="6">
        <v>36955</v>
      </c>
      <c r="C39" s="6">
        <v>6359</v>
      </c>
      <c r="D39" s="7">
        <f t="shared" si="1"/>
        <v>5.8114483409341089</v>
      </c>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row>
    <row r="40" spans="1:57">
      <c r="A40" s="5" t="s">
        <v>42</v>
      </c>
      <c r="B40" s="6">
        <v>702788</v>
      </c>
      <c r="C40" s="6">
        <v>11975</v>
      </c>
      <c r="D40" s="7">
        <f t="shared" si="1"/>
        <v>58.687933194154489</v>
      </c>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row>
    <row r="41" spans="1:57">
      <c r="A41" s="5" t="s">
        <v>43</v>
      </c>
      <c r="B41" s="6">
        <v>43798</v>
      </c>
      <c r="C41" s="6">
        <v>6827</v>
      </c>
      <c r="D41" s="7">
        <f t="shared" si="1"/>
        <v>6.4154094038377032</v>
      </c>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row>
    <row r="42" spans="1:57">
      <c r="A42" s="5" t="s">
        <v>44</v>
      </c>
      <c r="B42" s="6">
        <v>89440</v>
      </c>
      <c r="C42" s="6">
        <v>5803</v>
      </c>
      <c r="D42" s="7">
        <f t="shared" si="1"/>
        <v>15.41271755988282</v>
      </c>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row>
    <row r="43" spans="1:57">
      <c r="A43" s="5" t="s">
        <v>45</v>
      </c>
      <c r="B43" s="6">
        <v>35056</v>
      </c>
      <c r="C43" s="6">
        <v>6480</v>
      </c>
      <c r="D43" s="7">
        <f t="shared" si="1"/>
        <v>5.4098765432098768</v>
      </c>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row>
    <row r="44" spans="1:57">
      <c r="A44" s="5" t="s">
        <v>46</v>
      </c>
      <c r="B44" s="6">
        <v>3132463</v>
      </c>
      <c r="C44" s="6">
        <v>10691</v>
      </c>
      <c r="D44" s="7">
        <f t="shared" si="1"/>
        <v>293</v>
      </c>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row>
    <row r="45" spans="1:57">
      <c r="A45" s="5" t="s">
        <v>47</v>
      </c>
      <c r="B45" s="6">
        <v>7081</v>
      </c>
      <c r="C45" s="6">
        <v>6828</v>
      </c>
      <c r="D45" s="7">
        <f t="shared" si="1"/>
        <v>1.03705330990041</v>
      </c>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row>
    <row r="46" spans="1:57">
      <c r="A46" s="5" t="s">
        <v>48</v>
      </c>
      <c r="B46" s="6">
        <v>1221746</v>
      </c>
      <c r="C46" s="6">
        <v>12058</v>
      </c>
      <c r="D46" s="7">
        <f t="shared" si="1"/>
        <v>101.32244153259246</v>
      </c>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row>
    <row r="47" spans="1:57">
      <c r="A47" s="5" t="s">
        <v>49</v>
      </c>
      <c r="B47" s="6">
        <v>66499</v>
      </c>
      <c r="C47" s="6">
        <v>5294</v>
      </c>
      <c r="D47" s="7">
        <f t="shared" si="1"/>
        <v>12.561201360030223</v>
      </c>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row>
    <row r="48" spans="1:57">
      <c r="A48" s="5" t="s">
        <v>50</v>
      </c>
      <c r="B48" s="6">
        <v>72444</v>
      </c>
      <c r="C48" s="6">
        <v>7221</v>
      </c>
      <c r="D48" s="7">
        <f t="shared" si="1"/>
        <v>10.032405484004986</v>
      </c>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row>
    <row r="49" spans="1:57">
      <c r="A49" s="5" t="s">
        <v>51</v>
      </c>
      <c r="B49" s="6">
        <v>39812</v>
      </c>
      <c r="C49" s="6">
        <v>6609</v>
      </c>
      <c r="D49" s="7">
        <f t="shared" si="1"/>
        <v>6.0239067937660762</v>
      </c>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row>
    <row r="50" spans="1:57">
      <c r="A50" s="5" t="s">
        <v>52</v>
      </c>
      <c r="B50" s="6">
        <v>8285</v>
      </c>
      <c r="C50" s="6">
        <v>5503</v>
      </c>
      <c r="D50" s="7">
        <f t="shared" si="1"/>
        <v>1.5055424314010539</v>
      </c>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row>
    <row r="51" spans="1:57">
      <c r="A51" s="5" t="s">
        <v>53</v>
      </c>
      <c r="B51" s="6">
        <v>192198</v>
      </c>
      <c r="C51" s="6">
        <v>5674</v>
      </c>
      <c r="D51" s="7">
        <f t="shared" si="1"/>
        <v>33.873457878040185</v>
      </c>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row>
    <row r="52" spans="1:57">
      <c r="A52" s="5" t="s">
        <v>54</v>
      </c>
      <c r="B52" s="6">
        <v>46605</v>
      </c>
      <c r="C52" s="6">
        <v>5572</v>
      </c>
      <c r="D52" s="7">
        <f t="shared" si="1"/>
        <v>8.3641421392677682</v>
      </c>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row>
    <row r="53" spans="1:57">
      <c r="A53" s="5" t="s">
        <v>55</v>
      </c>
      <c r="B53" s="6">
        <v>51935</v>
      </c>
      <c r="C53" s="6">
        <v>6037</v>
      </c>
      <c r="D53" s="7">
        <f t="shared" si="1"/>
        <v>8.6027828391585217</v>
      </c>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row>
    <row r="54" spans="1:57">
      <c r="A54" s="5" t="s">
        <v>56</v>
      </c>
      <c r="B54" s="6">
        <v>4439086</v>
      </c>
      <c r="C54" s="6">
        <v>12098</v>
      </c>
      <c r="D54" s="7">
        <f t="shared" si="1"/>
        <v>366.92726070424862</v>
      </c>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row>
    <row r="55" spans="1:57">
      <c r="A55" s="5" t="s">
        <v>57</v>
      </c>
      <c r="B55" s="6">
        <v>212777</v>
      </c>
      <c r="C55" s="6">
        <v>8963</v>
      </c>
      <c r="D55" s="7">
        <f t="shared" si="1"/>
        <v>23.739484547584514</v>
      </c>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row>
    <row r="56" spans="1:57">
      <c r="A56" s="5" t="s">
        <v>58</v>
      </c>
      <c r="B56" s="6">
        <v>230646</v>
      </c>
      <c r="C56" s="6">
        <v>19507</v>
      </c>
      <c r="D56" s="7">
        <f t="shared" si="1"/>
        <v>11.823755574921822</v>
      </c>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row>
    <row r="57" spans="1:57">
      <c r="A57" s="5" t="s">
        <v>59</v>
      </c>
      <c r="B57" s="6">
        <v>30494</v>
      </c>
      <c r="C57" s="6">
        <v>5058</v>
      </c>
      <c r="D57" s="7">
        <f t="shared" si="1"/>
        <v>6.028865164096481</v>
      </c>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row>
    <row r="58" spans="1:57">
      <c r="A58" s="5" t="s">
        <v>60</v>
      </c>
      <c r="B58" s="6">
        <v>61979</v>
      </c>
      <c r="C58" s="6">
        <v>5614</v>
      </c>
      <c r="D58" s="7">
        <f t="shared" si="1"/>
        <v>11.040078375489847</v>
      </c>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row>
    <row r="59" spans="1:57">
      <c r="A59" s="5" t="s">
        <v>61</v>
      </c>
      <c r="B59" s="6">
        <v>4300</v>
      </c>
      <c r="C59" s="6">
        <v>3775</v>
      </c>
      <c r="D59" s="7">
        <f t="shared" si="1"/>
        <v>1.1390728476821192</v>
      </c>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row>
    <row r="60" spans="1:57">
      <c r="A60" s="5" t="s">
        <v>62</v>
      </c>
      <c r="B60" s="6">
        <v>537800</v>
      </c>
      <c r="C60" s="6">
        <v>6111</v>
      </c>
      <c r="D60" s="7">
        <f t="shared" si="1"/>
        <v>88.005236458844706</v>
      </c>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row>
    <row r="61" spans="1:57">
      <c r="A61" s="5" t="s">
        <v>63</v>
      </c>
      <c r="B61" s="6">
        <v>4039</v>
      </c>
      <c r="C61" s="6">
        <v>3363</v>
      </c>
      <c r="D61" s="7">
        <f t="shared" si="1"/>
        <v>1.2010110020814748</v>
      </c>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row>
    <row r="62" spans="1:57">
      <c r="A62" s="5" t="s">
        <v>64</v>
      </c>
      <c r="B62" s="6">
        <v>29716</v>
      </c>
      <c r="C62" s="6">
        <v>5367</v>
      </c>
      <c r="D62" s="7">
        <f t="shared" si="1"/>
        <v>5.5367989565865479</v>
      </c>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row>
    <row r="63" spans="1:57">
      <c r="A63" s="5" t="s">
        <v>65</v>
      </c>
      <c r="B63" s="6">
        <v>7484</v>
      </c>
      <c r="C63" s="6">
        <v>6666</v>
      </c>
      <c r="D63" s="7">
        <f t="shared" si="1"/>
        <v>1.1227122712271227</v>
      </c>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row>
    <row r="64" spans="1:57">
      <c r="A64" s="5" t="s">
        <v>66</v>
      </c>
      <c r="B64" s="6">
        <v>601250</v>
      </c>
      <c r="C64" s="6">
        <v>6814</v>
      </c>
      <c r="D64" s="7">
        <f t="shared" si="1"/>
        <v>88.237452304079838</v>
      </c>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row>
    <row r="65" spans="1:57">
      <c r="A65" s="5" t="s">
        <v>67</v>
      </c>
      <c r="B65" s="6">
        <v>18812</v>
      </c>
      <c r="C65" s="6">
        <v>5569</v>
      </c>
      <c r="D65" s="7">
        <f t="shared" si="1"/>
        <v>3.3779852756329682</v>
      </c>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row>
    <row r="66" spans="1:57">
      <c r="A66" s="5" t="s">
        <v>68</v>
      </c>
      <c r="B66" s="6">
        <v>72084</v>
      </c>
      <c r="C66" s="6">
        <v>6270</v>
      </c>
      <c r="D66" s="7">
        <f t="shared" ref="D66:D80" si="2">B66/C66</f>
        <v>11.49665071770335</v>
      </c>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row>
    <row r="67" spans="1:57">
      <c r="A67" s="5" t="s">
        <v>69</v>
      </c>
      <c r="B67" s="6">
        <v>580690</v>
      </c>
      <c r="C67" s="6">
        <v>6086</v>
      </c>
      <c r="D67" s="7">
        <f t="shared" si="2"/>
        <v>95.41406506736773</v>
      </c>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row>
    <row r="68" spans="1:57">
      <c r="A68" s="5" t="s">
        <v>70</v>
      </c>
      <c r="B68" s="6">
        <v>2063564</v>
      </c>
      <c r="C68" s="6">
        <v>7233</v>
      </c>
      <c r="D68" s="7">
        <f t="shared" si="2"/>
        <v>285.29849301811146</v>
      </c>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row>
    <row r="69" spans="1:57">
      <c r="A69" s="5" t="s">
        <v>71</v>
      </c>
      <c r="B69" s="6">
        <v>16492</v>
      </c>
      <c r="C69" s="6">
        <v>13828</v>
      </c>
      <c r="D69" s="7">
        <f t="shared" si="2"/>
        <v>1.1926525889499566</v>
      </c>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row>
    <row r="70" spans="1:57">
      <c r="A70" s="5" t="s">
        <v>72</v>
      </c>
      <c r="B70" s="6">
        <v>203940</v>
      </c>
      <c r="C70" s="6">
        <v>5075</v>
      </c>
      <c r="D70" s="7">
        <f t="shared" si="2"/>
        <v>40.18522167487685</v>
      </c>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row>
    <row r="71" spans="1:57">
      <c r="A71" s="5" t="s">
        <v>73</v>
      </c>
      <c r="B71" s="6">
        <v>1343738</v>
      </c>
      <c r="C71" s="6">
        <v>7608</v>
      </c>
      <c r="D71" s="7">
        <f t="shared" si="2"/>
        <v>176.62171398527866</v>
      </c>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row>
    <row r="72" spans="1:57">
      <c r="A72" s="5" t="s">
        <v>74</v>
      </c>
      <c r="B72" s="6">
        <v>418788</v>
      </c>
      <c r="C72" s="6">
        <v>6136</v>
      </c>
      <c r="D72" s="7">
        <f t="shared" si="2"/>
        <v>68.250977835723603</v>
      </c>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row>
    <row r="73" spans="1:57">
      <c r="A73" s="5" t="s">
        <v>75</v>
      </c>
      <c r="B73" s="6">
        <v>69972</v>
      </c>
      <c r="C73" s="6">
        <v>6609</v>
      </c>
      <c r="D73" s="7">
        <f t="shared" si="2"/>
        <v>10.587380844303222</v>
      </c>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row>
    <row r="74" spans="1:57">
      <c r="A74" s="5" t="s">
        <v>76</v>
      </c>
      <c r="B74" s="6">
        <v>46229</v>
      </c>
      <c r="C74" s="6">
        <v>6676</v>
      </c>
      <c r="D74" s="7">
        <f t="shared" si="2"/>
        <v>6.924655482324745</v>
      </c>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row>
    <row r="75" spans="1:57">
      <c r="A75" s="5" t="s">
        <v>77</v>
      </c>
      <c r="B75" s="6">
        <v>246260</v>
      </c>
      <c r="C75" s="6">
        <v>7243</v>
      </c>
      <c r="D75" s="7">
        <f t="shared" si="2"/>
        <v>33.999723871324036</v>
      </c>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row>
    <row r="76" spans="1:57">
      <c r="A76" s="5" t="s">
        <v>78</v>
      </c>
      <c r="B76" s="6">
        <v>795130</v>
      </c>
      <c r="C76" s="6">
        <v>8633</v>
      </c>
      <c r="D76" s="7">
        <f t="shared" si="2"/>
        <v>92.103556121857991</v>
      </c>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row>
    <row r="77" spans="1:57">
      <c r="A77" s="5" t="s">
        <v>79</v>
      </c>
      <c r="B77" s="6">
        <v>351424</v>
      </c>
      <c r="C77" s="6">
        <v>5998</v>
      </c>
      <c r="D77" s="7">
        <f t="shared" si="2"/>
        <v>58.590196732244081</v>
      </c>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row>
    <row r="78" spans="1:57">
      <c r="A78" s="5" t="s">
        <v>80</v>
      </c>
      <c r="B78" s="6">
        <v>59275</v>
      </c>
      <c r="C78" s="6">
        <v>19277</v>
      </c>
      <c r="D78" s="7">
        <f t="shared" si="2"/>
        <v>3.0749079213570578</v>
      </c>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row>
    <row r="79" spans="1:57">
      <c r="A79" s="5" t="s">
        <v>81</v>
      </c>
      <c r="B79" s="6">
        <v>50965</v>
      </c>
      <c r="C79" s="6">
        <v>5263</v>
      </c>
      <c r="D79" s="7">
        <f t="shared" si="2"/>
        <v>9.6836405092152766</v>
      </c>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row>
    <row r="80" spans="1:57">
      <c r="A80" s="5" t="s">
        <v>82</v>
      </c>
      <c r="B80" s="6">
        <v>1332000</v>
      </c>
      <c r="C80" s="6">
        <v>5377</v>
      </c>
      <c r="D80" s="7">
        <f t="shared" si="2"/>
        <v>247.72177794309096</v>
      </c>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row>
    <row r="81" spans="1:57">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row>
    <row r="82" spans="1:57">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row>
    <row r="83" spans="1:57">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row>
    <row r="84" spans="1:57">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row>
    <row r="85" spans="1:57">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row>
    <row r="86" spans="1:57">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row>
    <row r="87" spans="1:57">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row>
    <row r="88" spans="1:57">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row>
    <row r="89" spans="1:57">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row>
    <row r="90" spans="1:57">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row>
    <row r="91" spans="1:57">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row>
    <row r="92" spans="1:57">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row>
    <row r="93" spans="1:57">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row>
    <row r="94" spans="1:57">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row>
    <row r="95" spans="1:57">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row>
    <row r="96" spans="1:57">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row>
    <row r="97" spans="1:57">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row>
    <row r="98" spans="1:57">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row>
    <row r="99" spans="1:57">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row>
    <row r="100" spans="1:57">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row>
    <row r="101" spans="1:57">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row>
    <row r="102" spans="1:57">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row>
    <row r="103" spans="1:57">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row>
    <row r="104" spans="1:57">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row>
    <row r="105" spans="1:57">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row>
    <row r="106" spans="1:57">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row>
    <row r="107" spans="1:57">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row>
    <row r="108" spans="1:57">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row>
    <row r="109" spans="1:57">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row>
    <row r="110" spans="1:57">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row>
    <row r="111" spans="1:57">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row>
    <row r="112" spans="1:57">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row>
    <row r="113" spans="1:57">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row>
    <row r="114" spans="1:57">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row>
    <row r="115" spans="1:57">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row>
    <row r="116" spans="1:57">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row>
    <row r="117" spans="1:57">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row>
    <row r="118" spans="1:57">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row>
    <row r="119" spans="1:57">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row>
    <row r="120" spans="1:57">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row>
    <row r="121" spans="1:57">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row>
    <row r="122" spans="1:57">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row>
    <row r="123" spans="1:57">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row>
    <row r="124" spans="1:57">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row>
    <row r="125" spans="1:57">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row>
    <row r="126" spans="1:57">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row>
    <row r="127" spans="1:57">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row>
    <row r="128" spans="1:57">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row>
    <row r="129" spans="1:57">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row>
    <row r="130" spans="1:57">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row>
    <row r="131" spans="1:57">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row>
    <row r="132" spans="1:57">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row>
    <row r="133" spans="1:57">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row>
    <row r="134" spans="1:57">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row>
    <row r="135" spans="1:57">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row>
    <row r="136" spans="1:57">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row>
    <row r="137" spans="1:57">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row>
    <row r="138" spans="1:57">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row>
    <row r="139" spans="1:57">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row>
    <row r="140" spans="1:57">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row>
    <row r="141" spans="1:57">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row>
    <row r="142" spans="1:57">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row>
    <row r="143" spans="1:57">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row>
    <row r="144" spans="1:57">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row>
    <row r="145" spans="1:57">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row>
    <row r="146" spans="1:57">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row>
    <row r="147" spans="1:57">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row>
    <row r="148" spans="1:57">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row>
    <row r="149" spans="1:57">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row>
    <row r="150" spans="1:57">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row>
    <row r="151" spans="1:57">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row>
    <row r="152" spans="1:57">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row>
    <row r="153" spans="1:57">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row>
    <row r="154" spans="1:57">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row>
    <row r="155" spans="1:57">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row>
    <row r="156" spans="1:57">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row>
    <row r="157" spans="1:57">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row>
    <row r="158" spans="1:57">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row>
    <row r="159" spans="1:57">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row>
    <row r="160" spans="1:57">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row>
    <row r="161" spans="1:57">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row>
    <row r="162" spans="1:57">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row>
    <row r="163" spans="1:57">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row>
    <row r="164" spans="1:57">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row>
    <row r="165" spans="1:57">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row>
    <row r="166" spans="1:57">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row>
    <row r="167" spans="1:57">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row>
    <row r="168" spans="1:57">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row>
    <row r="169" spans="1:57">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row>
    <row r="170" spans="1:57">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row>
    <row r="171" spans="1:57">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row>
    <row r="172" spans="1:57">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row>
    <row r="173" spans="1:57">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row>
    <row r="174" spans="1:57">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row>
    <row r="175" spans="1:57">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row>
    <row r="176" spans="1:57">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row>
    <row r="177" spans="1:57">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row>
    <row r="178" spans="1:57">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row>
    <row r="179" spans="1:57">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row>
    <row r="180" spans="1:57">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row>
    <row r="181" spans="1:57">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row>
    <row r="182" spans="1:57">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row>
    <row r="183" spans="1:57">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row>
    <row r="184" spans="1:57">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row>
    <row r="185" spans="1:57">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row>
    <row r="186" spans="1:57">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row>
    <row r="187" spans="1:57">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row>
    <row r="188" spans="1:57">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row>
    <row r="189" spans="1:57">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row>
    <row r="190" spans="1:57">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row>
    <row r="191" spans="1:57">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row>
    <row r="192" spans="1:57">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row>
    <row r="193" spans="1:57">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row>
    <row r="194" spans="1:57">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row>
    <row r="195" spans="1:57">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row>
    <row r="196" spans="1:57">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row>
    <row r="197" spans="1:57">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row>
    <row r="198" spans="1:57">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row>
    <row r="199" spans="1:57">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row>
    <row r="200" spans="1:57">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row>
    <row r="201" spans="1:57">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row>
    <row r="202" spans="1:57">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row>
    <row r="203" spans="1:57">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row>
    <row r="204" spans="1:57">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row>
    <row r="205" spans="1:57">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row>
    <row r="206" spans="1:57">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row>
    <row r="207" spans="1:57">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row>
    <row r="208" spans="1:57">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row>
    <row r="209" spans="1:57">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row>
    <row r="210" spans="1:57">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row>
    <row r="211" spans="1:57">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row>
    <row r="212" spans="1:57">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row>
    <row r="213" spans="1:57">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row>
    <row r="214" spans="1:57">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row>
    <row r="215" spans="1:57">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row>
    <row r="216" spans="1:57">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row>
    <row r="217" spans="1:57">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row>
    <row r="218" spans="1:57">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row>
    <row r="219" spans="1:57">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row>
    <row r="220" spans="1:57">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row>
    <row r="221" spans="1:57">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row>
    <row r="222" spans="1:57">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row>
    <row r="223" spans="1:57">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row>
    <row r="224" spans="1:57">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row>
    <row r="225" spans="1:57">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row>
    <row r="226" spans="1:57">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row>
    <row r="227" spans="1:57">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row>
    <row r="228" spans="1:57">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row>
    <row r="229" spans="1:57">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row>
    <row r="230" spans="1:57">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row>
    <row r="231" spans="1:57">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row>
    <row r="232" spans="1:57">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row>
    <row r="233" spans="1:57">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row>
    <row r="234" spans="1:57">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row>
    <row r="235" spans="1:57">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row>
    <row r="236" spans="1:57">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row>
    <row r="237" spans="1:57">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row>
    <row r="238" spans="1:57">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row>
    <row r="239" spans="1:57">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row>
    <row r="240" spans="1:57">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row>
    <row r="241" spans="1:57">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row>
    <row r="242" spans="1:57">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row>
    <row r="243" spans="1:57">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row>
    <row r="244" spans="1:57">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row>
    <row r="245" spans="1:57">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row>
    <row r="246" spans="1:57">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row>
    <row r="247" spans="1:57">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row>
    <row r="248" spans="1:57">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row>
    <row r="249" spans="1:57">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row>
    <row r="250" spans="1:57">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row>
    <row r="251" spans="1:57">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row>
    <row r="252" spans="1:57">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row>
    <row r="253" spans="1:57">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row>
    <row r="254" spans="1:57">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row>
    <row r="255" spans="1:57">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row>
    <row r="256" spans="1:57">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row>
    <row r="257" spans="1:57">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row>
    <row r="258" spans="1:57">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row>
    <row r="259" spans="1:57">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row>
    <row r="260" spans="1:57">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row>
    <row r="261" spans="1:57">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row>
    <row r="262" spans="1:57">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row>
    <row r="263" spans="1:57">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row>
    <row r="264" spans="1:57">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row>
    <row r="265" spans="1:57">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row>
    <row r="266" spans="1:57">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row>
    <row r="267" spans="1:57">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row>
    <row r="268" spans="1:57">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row>
    <row r="269" spans="1:57">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row>
    <row r="270" spans="1:57">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row>
    <row r="271" spans="1:57">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row>
    <row r="272" spans="1:57">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row>
    <row r="273" spans="1:57">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row>
    <row r="274" spans="1:57">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row>
    <row r="275" spans="1:57">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row>
    <row r="276" spans="1:57">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row>
    <row r="277" spans="1:57">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row>
    <row r="278" spans="1:57">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row>
    <row r="279" spans="1:57">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row>
    <row r="280" spans="1:57">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row>
    <row r="281" spans="1:57">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row>
    <row r="282" spans="1:57">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row>
    <row r="283" spans="1:57">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row>
    <row r="284" spans="1:57">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row>
    <row r="285" spans="1:57">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row>
    <row r="286" spans="1:57">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row>
    <row r="287" spans="1:57">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row>
    <row r="288" spans="1:57">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row>
    <row r="289" spans="1:57">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row>
    <row r="290" spans="1:57">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row>
    <row r="291" spans="1:57">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row>
    <row r="292" spans="1:57">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row>
    <row r="293" spans="1:57">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row>
    <row r="294" spans="1:57">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row>
    <row r="295" spans="1:57">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row>
    <row r="296" spans="1:57">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row>
    <row r="297" spans="1:57">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row>
    <row r="298" spans="1:57">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row>
    <row r="299" spans="1:57">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row>
    <row r="300" spans="1:57">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row>
    <row r="301" spans="1:57">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row>
    <row r="302" spans="1:57">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row>
    <row r="303" spans="1:57">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row>
    <row r="304" spans="1:57">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row>
    <row r="305" spans="1:57">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row>
    <row r="306" spans="1:57">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row>
    <row r="307" spans="1:57">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row>
    <row r="308" spans="1:57">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row>
    <row r="309" spans="1:57">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row>
    <row r="310" spans="1:57">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row>
    <row r="311" spans="1:57">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row>
    <row r="312" spans="1:57">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row>
    <row r="313" spans="1:57">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row>
    <row r="314" spans="1:57">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row>
    <row r="315" spans="1:57">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row>
    <row r="316" spans="1:57">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row>
    <row r="317" spans="1:57">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row>
    <row r="318" spans="1:57">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row>
    <row r="319" spans="1:57">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row>
    <row r="320" spans="1:57">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row>
    <row r="321" spans="1:57">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row>
  </sheetData>
  <mergeCells count="1">
    <mergeCell ref="F2:I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CA67F-1AF4-4300-9684-420D696F2BF0}">
  <sheetPr codeName="Sayfa1"/>
  <dimension ref="A1:BF321"/>
  <sheetViews>
    <sheetView showGridLines="0" showRowColHeaders="0" zoomScale="85" zoomScaleNormal="85" workbookViewId="0">
      <selection sqref="A1:A2"/>
    </sheetView>
  </sheetViews>
  <sheetFormatPr defaultRowHeight="14.4"/>
  <sheetData>
    <row r="1" spans="1:58">
      <c r="A1" s="139" t="s">
        <v>0</v>
      </c>
      <c r="B1" s="136" t="s">
        <v>94</v>
      </c>
      <c r="C1" s="137"/>
      <c r="D1" s="137"/>
      <c r="E1" s="138"/>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row>
    <row r="2" spans="1:58">
      <c r="A2" s="140"/>
      <c r="B2" s="6" t="s">
        <v>95</v>
      </c>
      <c r="C2" s="6" t="s">
        <v>96</v>
      </c>
      <c r="D2" s="6" t="s">
        <v>97</v>
      </c>
      <c r="E2" s="6" t="s">
        <v>98</v>
      </c>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row>
    <row r="3" spans="1:58">
      <c r="A3" s="6" t="s">
        <v>4</v>
      </c>
      <c r="B3" s="6">
        <v>286334</v>
      </c>
      <c r="C3" s="6">
        <v>291967</v>
      </c>
      <c r="D3" s="6">
        <v>282888</v>
      </c>
      <c r="E3" s="6">
        <v>288195</v>
      </c>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row>
    <row r="4" spans="1:58">
      <c r="A4" s="6" t="s">
        <v>5</v>
      </c>
      <c r="B4" s="6">
        <v>99818</v>
      </c>
      <c r="C4" s="6">
        <v>93537</v>
      </c>
      <c r="D4" s="6">
        <v>88013</v>
      </c>
      <c r="E4" s="6">
        <v>84473</v>
      </c>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row>
    <row r="5" spans="1:58">
      <c r="A5" s="6" t="s">
        <v>6</v>
      </c>
      <c r="B5" s="6">
        <v>126377</v>
      </c>
      <c r="C5" s="6">
        <v>123469</v>
      </c>
      <c r="D5" s="6">
        <v>123630</v>
      </c>
      <c r="E5" s="6">
        <v>126031</v>
      </c>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row>
    <row r="6" spans="1:58">
      <c r="A6" s="6" t="s">
        <v>7</v>
      </c>
      <c r="B6" s="6">
        <v>430791</v>
      </c>
      <c r="C6" s="6">
        <v>417873</v>
      </c>
      <c r="D6" s="6">
        <v>396966</v>
      </c>
      <c r="E6" s="6">
        <v>388205</v>
      </c>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row>
    <row r="7" spans="1:58">
      <c r="A7" s="6" t="s">
        <v>8</v>
      </c>
      <c r="B7" s="6">
        <v>290056</v>
      </c>
      <c r="C7" s="6">
        <v>274803</v>
      </c>
      <c r="D7" s="6">
        <v>255440</v>
      </c>
      <c r="E7" s="6">
        <v>239492</v>
      </c>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row>
    <row r="8" spans="1:58">
      <c r="A8" s="6" t="s">
        <v>9</v>
      </c>
      <c r="B8" s="6">
        <v>893057</v>
      </c>
      <c r="C8" s="6">
        <v>889729</v>
      </c>
      <c r="D8" s="6">
        <v>760919</v>
      </c>
      <c r="E8" s="6">
        <v>856081</v>
      </c>
      <c r="F8" s="1"/>
      <c r="G8" s="1"/>
      <c r="H8" s="1"/>
      <c r="I8" s="1"/>
      <c r="J8" s="1"/>
      <c r="K8" s="1"/>
      <c r="L8" s="1"/>
      <c r="M8" s="1"/>
      <c r="N8" s="1"/>
      <c r="O8" s="1"/>
      <c r="P8" s="1"/>
      <c r="Q8" s="6" t="s">
        <v>95</v>
      </c>
      <c r="R8" s="6" t="s">
        <v>96</v>
      </c>
      <c r="S8" s="6" t="s">
        <v>97</v>
      </c>
      <c r="T8" s="6" t="s">
        <v>98</v>
      </c>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row>
    <row r="9" spans="1:58">
      <c r="A9" s="6" t="s">
        <v>10</v>
      </c>
      <c r="B9" s="6">
        <v>122027</v>
      </c>
      <c r="C9" s="6">
        <v>96946</v>
      </c>
      <c r="D9" s="6">
        <v>90391</v>
      </c>
      <c r="E9" s="6">
        <v>92013</v>
      </c>
      <c r="F9" s="1"/>
      <c r="G9" s="1"/>
      <c r="H9" s="1"/>
      <c r="I9" s="1"/>
      <c r="J9" s="1"/>
      <c r="K9" s="1"/>
      <c r="L9" s="1"/>
      <c r="M9" s="1"/>
      <c r="N9" s="1"/>
      <c r="O9" s="1"/>
      <c r="P9" s="6" t="s">
        <v>6</v>
      </c>
      <c r="Q9" s="1">
        <f>VLOOKUP(P9,A3:E39,2,0)</f>
        <v>126377</v>
      </c>
      <c r="R9" s="1">
        <f t="shared" ref="R9:T9" si="0">VLOOKUP(Q9,B3:F39,2,0)</f>
        <v>123469</v>
      </c>
      <c r="S9" s="1">
        <f t="shared" si="0"/>
        <v>123630</v>
      </c>
      <c r="T9" s="1">
        <f t="shared" si="0"/>
        <v>126031</v>
      </c>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row>
    <row r="10" spans="1:58">
      <c r="A10" s="6" t="s">
        <v>11</v>
      </c>
      <c r="B10" s="6">
        <v>70522</v>
      </c>
      <c r="C10" s="6">
        <v>72310</v>
      </c>
      <c r="D10" s="6">
        <v>68174</v>
      </c>
      <c r="E10" s="6">
        <v>68313</v>
      </c>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row>
    <row r="11" spans="1:58">
      <c r="A11" s="6" t="s">
        <v>12</v>
      </c>
      <c r="B11" s="6">
        <v>14248</v>
      </c>
      <c r="C11" s="6">
        <v>12649</v>
      </c>
      <c r="D11" s="6">
        <v>11676</v>
      </c>
      <c r="E11" s="6">
        <v>12257</v>
      </c>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row>
    <row r="12" spans="1:58">
      <c r="A12" s="6" t="s">
        <v>13</v>
      </c>
      <c r="B12" s="6">
        <v>66198</v>
      </c>
      <c r="C12" s="6">
        <v>62523</v>
      </c>
      <c r="D12" s="6">
        <v>58526</v>
      </c>
      <c r="E12" s="6">
        <v>58325</v>
      </c>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row>
    <row r="13" spans="1:58">
      <c r="A13" s="6" t="s">
        <v>14</v>
      </c>
      <c r="B13" s="6">
        <v>749808</v>
      </c>
      <c r="C13" s="6">
        <v>792983</v>
      </c>
      <c r="D13" s="6">
        <v>807867</v>
      </c>
      <c r="E13" s="6">
        <v>828196</v>
      </c>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row>
    <row r="14" spans="1:58">
      <c r="A14" s="6" t="s">
        <v>15</v>
      </c>
      <c r="B14" s="6">
        <v>852044</v>
      </c>
      <c r="C14" s="6">
        <v>798136</v>
      </c>
      <c r="D14" s="6">
        <v>774149</v>
      </c>
      <c r="E14" s="6">
        <v>739792</v>
      </c>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row>
    <row r="15" spans="1:58">
      <c r="A15" s="6" t="s">
        <v>16</v>
      </c>
      <c r="B15" s="6">
        <v>102229</v>
      </c>
      <c r="C15" s="6">
        <v>110521</v>
      </c>
      <c r="D15" s="6">
        <v>105530</v>
      </c>
      <c r="E15" s="6">
        <v>102868</v>
      </c>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row>
    <row r="16" spans="1:58">
      <c r="A16" s="6" t="s">
        <v>17</v>
      </c>
      <c r="B16" s="6">
        <v>121155</v>
      </c>
      <c r="C16" s="6">
        <v>111761</v>
      </c>
      <c r="D16" s="6">
        <v>94515</v>
      </c>
      <c r="E16" s="6">
        <v>96838</v>
      </c>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row>
    <row r="17" spans="1:58">
      <c r="A17" s="6" t="s">
        <v>18</v>
      </c>
      <c r="B17" s="6">
        <v>4738</v>
      </c>
      <c r="C17" s="6">
        <v>4505</v>
      </c>
      <c r="D17" s="6">
        <v>4250</v>
      </c>
      <c r="E17" s="6">
        <v>4232</v>
      </c>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row>
    <row r="18" spans="1:58">
      <c r="A18" s="6" t="s">
        <v>19</v>
      </c>
      <c r="B18" s="6">
        <v>56635</v>
      </c>
      <c r="C18" s="6">
        <v>59296</v>
      </c>
      <c r="D18" s="6">
        <v>61234</v>
      </c>
      <c r="E18" s="6">
        <v>61999</v>
      </c>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row>
    <row r="19" spans="1:58">
      <c r="A19" s="6" t="s">
        <v>20</v>
      </c>
      <c r="B19" s="6">
        <v>122701</v>
      </c>
      <c r="C19" s="6">
        <v>118953</v>
      </c>
      <c r="D19" s="6">
        <v>124852</v>
      </c>
      <c r="E19" s="6">
        <v>136848</v>
      </c>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row>
    <row r="20" spans="1:58">
      <c r="A20" s="6" t="s">
        <v>21</v>
      </c>
      <c r="B20" s="6">
        <v>586904</v>
      </c>
      <c r="C20" s="6">
        <v>605490</v>
      </c>
      <c r="D20" s="6">
        <v>616761</v>
      </c>
      <c r="E20" s="6">
        <v>616185</v>
      </c>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row>
    <row r="21" spans="1:58">
      <c r="A21" s="6" t="s">
        <v>22</v>
      </c>
      <c r="B21" s="6">
        <v>1211642</v>
      </c>
      <c r="C21" s="6">
        <v>1241786</v>
      </c>
      <c r="D21" s="6">
        <v>1201615</v>
      </c>
      <c r="E21" s="6">
        <v>1186849</v>
      </c>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row>
    <row r="22" spans="1:58">
      <c r="A22" s="6" t="s">
        <v>23</v>
      </c>
      <c r="B22" s="6">
        <v>717164</v>
      </c>
      <c r="C22" s="6">
        <v>687104</v>
      </c>
      <c r="D22" s="6">
        <v>620687</v>
      </c>
      <c r="E22" s="6">
        <v>517040</v>
      </c>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row>
    <row r="23" spans="1:58">
      <c r="A23" s="6" t="s">
        <v>24</v>
      </c>
      <c r="B23" s="6">
        <v>28749</v>
      </c>
      <c r="C23" s="6">
        <v>18789</v>
      </c>
      <c r="D23" s="6">
        <v>17255</v>
      </c>
      <c r="E23" s="6">
        <v>17977</v>
      </c>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row>
    <row r="24" spans="1:58">
      <c r="A24" s="6" t="s">
        <v>25</v>
      </c>
      <c r="B24" s="6">
        <v>51822</v>
      </c>
      <c r="C24" s="6">
        <v>38524</v>
      </c>
      <c r="D24" s="6">
        <v>33163</v>
      </c>
      <c r="E24" s="6">
        <v>27075</v>
      </c>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row>
    <row r="25" spans="1:58">
      <c r="A25" s="6" t="s">
        <v>26</v>
      </c>
      <c r="B25" s="6">
        <v>5864</v>
      </c>
      <c r="C25" s="6">
        <v>6187</v>
      </c>
      <c r="D25" s="6">
        <v>6327</v>
      </c>
      <c r="E25" s="6">
        <v>6291</v>
      </c>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row>
    <row r="26" spans="1:58">
      <c r="A26" s="6" t="s">
        <v>27</v>
      </c>
      <c r="B26" s="6">
        <v>2151771</v>
      </c>
      <c r="C26" s="6">
        <v>2114745</v>
      </c>
      <c r="D26" s="6">
        <v>2257399</v>
      </c>
      <c r="E26" s="6">
        <v>2231751</v>
      </c>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row>
    <row r="27" spans="1:58">
      <c r="A27" s="6" t="s">
        <v>28</v>
      </c>
      <c r="B27" s="6">
        <v>199000</v>
      </c>
      <c r="C27" s="6">
        <v>194000</v>
      </c>
      <c r="D27" s="6">
        <v>203234</v>
      </c>
      <c r="E27" s="6">
        <v>208704</v>
      </c>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row>
    <row r="28" spans="1:58">
      <c r="A28" s="6" t="s">
        <v>29</v>
      </c>
      <c r="B28" s="6">
        <v>63460</v>
      </c>
      <c r="C28" s="6">
        <v>60940</v>
      </c>
      <c r="D28" s="6">
        <v>60162</v>
      </c>
      <c r="E28" s="6">
        <v>59700</v>
      </c>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row>
    <row r="29" spans="1:58">
      <c r="A29" s="6" t="s">
        <v>30</v>
      </c>
      <c r="B29" s="6">
        <v>63352</v>
      </c>
      <c r="C29" s="6">
        <v>64917</v>
      </c>
      <c r="D29" s="6">
        <v>63642</v>
      </c>
      <c r="E29" s="6">
        <v>60968</v>
      </c>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row>
    <row r="30" spans="1:58">
      <c r="A30" s="6" t="s">
        <v>31</v>
      </c>
      <c r="B30" s="6">
        <v>482500</v>
      </c>
      <c r="C30" s="6">
        <v>425597</v>
      </c>
      <c r="D30" s="6">
        <v>380366</v>
      </c>
      <c r="E30" s="6">
        <v>354020</v>
      </c>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row>
    <row r="31" spans="1:58">
      <c r="A31" s="6" t="s">
        <v>32</v>
      </c>
      <c r="B31" s="6">
        <v>115669</v>
      </c>
      <c r="C31" s="6">
        <v>108728</v>
      </c>
      <c r="D31" s="6">
        <v>110939</v>
      </c>
      <c r="E31" s="6">
        <v>112977</v>
      </c>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row>
    <row r="32" spans="1:58">
      <c r="A32" s="6" t="s">
        <v>33</v>
      </c>
      <c r="B32" s="6">
        <v>72826</v>
      </c>
      <c r="C32" s="6">
        <v>59723</v>
      </c>
      <c r="D32" s="6">
        <v>55674</v>
      </c>
      <c r="E32" s="6">
        <v>51526</v>
      </c>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row>
    <row r="33" spans="1:58">
      <c r="A33" s="6" t="s">
        <v>34</v>
      </c>
      <c r="B33" s="6">
        <v>20314</v>
      </c>
      <c r="C33" s="6">
        <v>19471</v>
      </c>
      <c r="D33" s="6">
        <v>18078</v>
      </c>
      <c r="E33" s="6">
        <v>17501</v>
      </c>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row>
    <row r="34" spans="1:58">
      <c r="A34" s="6" t="s">
        <v>35</v>
      </c>
      <c r="B34" s="6">
        <v>433224</v>
      </c>
      <c r="C34" s="6">
        <v>423444</v>
      </c>
      <c r="D34" s="6">
        <v>440084</v>
      </c>
      <c r="E34" s="6">
        <v>454168</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row>
    <row r="35" spans="1:58">
      <c r="A35" s="6" t="s">
        <v>36</v>
      </c>
      <c r="B35" s="6">
        <v>121486</v>
      </c>
      <c r="C35" s="6">
        <v>102087</v>
      </c>
      <c r="D35" s="6">
        <v>97749</v>
      </c>
      <c r="E35" s="6">
        <v>108622</v>
      </c>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row>
    <row r="36" spans="1:58">
      <c r="A36" s="6" t="s">
        <v>37</v>
      </c>
      <c r="B36" s="6">
        <v>90623</v>
      </c>
      <c r="C36" s="6">
        <v>87200</v>
      </c>
      <c r="D36" s="6">
        <v>85495</v>
      </c>
      <c r="E36" s="6">
        <v>80590</v>
      </c>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row>
    <row r="37" spans="1:58">
      <c r="A37" s="6" t="s">
        <v>38</v>
      </c>
      <c r="B37" s="6">
        <v>1336842</v>
      </c>
      <c r="C37" s="6">
        <v>1266638</v>
      </c>
      <c r="D37" s="6">
        <v>1324089</v>
      </c>
      <c r="E37" s="6">
        <v>1218693</v>
      </c>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row>
    <row r="38" spans="1:58">
      <c r="A38" s="6" t="s">
        <v>39</v>
      </c>
      <c r="B38" s="6">
        <v>786626</v>
      </c>
      <c r="C38" s="6">
        <v>738066</v>
      </c>
      <c r="D38" s="6">
        <v>747593</v>
      </c>
      <c r="E38" s="6">
        <v>703991</v>
      </c>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row>
    <row r="39" spans="1:58">
      <c r="A39" s="6" t="s">
        <v>40</v>
      </c>
      <c r="B39" s="6">
        <v>4103738</v>
      </c>
      <c r="C39" s="6">
        <v>3985714</v>
      </c>
      <c r="D39" s="6">
        <v>4220325</v>
      </c>
      <c r="E39" s="6">
        <v>4133719</v>
      </c>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row>
    <row r="40" spans="1:58">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row>
    <row r="41" spans="1:58">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row>
    <row r="42" spans="1:58">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row>
    <row r="43" spans="1:58">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row>
    <row r="44" spans="1:58">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row>
    <row r="45" spans="1:58">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row>
    <row r="46" spans="1:58">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row>
    <row r="47" spans="1:58">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row>
    <row r="48" spans="1:58">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row>
    <row r="49" spans="1:58">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row>
    <row r="50" spans="1:58">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row>
    <row r="51" spans="1:58">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row>
    <row r="52" spans="1:58">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row>
    <row r="53" spans="1:58">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row>
    <row r="54" spans="1:58">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row>
    <row r="55" spans="1:58">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row>
    <row r="56" spans="1:58">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row>
    <row r="57" spans="1:58">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row>
    <row r="58" spans="1:58">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row>
    <row r="59" spans="1:58">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row>
    <row r="60" spans="1:58">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row>
    <row r="61" spans="1:58">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row>
    <row r="62" spans="1:58">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row>
    <row r="63" spans="1:58">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row>
    <row r="64" spans="1:58">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row>
    <row r="65" spans="1:58">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row>
    <row r="66" spans="1:58">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row>
    <row r="67" spans="1:58">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row>
    <row r="68" spans="1:58">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row>
    <row r="69" spans="1:58">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row>
    <row r="70" spans="1:58">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row>
    <row r="71" spans="1:58">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row>
    <row r="72" spans="1:58">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row>
    <row r="73" spans="1:58">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row>
    <row r="74" spans="1:58">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row>
    <row r="75" spans="1:58">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row>
    <row r="76" spans="1:58">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row>
    <row r="77" spans="1:58">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row>
    <row r="78" spans="1:58">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row>
    <row r="79" spans="1:58">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row>
    <row r="80" spans="1:58">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row>
    <row r="81" spans="1:58">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row>
    <row r="82" spans="1:58">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row>
    <row r="83" spans="1:58">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row>
    <row r="84" spans="1:58">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row>
    <row r="85" spans="1:58">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row>
    <row r="86" spans="1:58">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row>
    <row r="87" spans="1:58">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row>
    <row r="88" spans="1:58">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row>
    <row r="89" spans="1:58">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row>
    <row r="90" spans="1:58">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row>
    <row r="91" spans="1:58">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row>
    <row r="92" spans="1:58">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row>
    <row r="93" spans="1:58">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row>
    <row r="94" spans="1:58">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row>
    <row r="95" spans="1:58">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row>
    <row r="96" spans="1:58">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row>
    <row r="97" spans="1:58">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row>
    <row r="98" spans="1:58">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row>
    <row r="99" spans="1:58">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row>
    <row r="100" spans="1:58">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row>
    <row r="101" spans="1:58">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row>
    <row r="102" spans="1:58">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row>
    <row r="103" spans="1:58">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row>
    <row r="104" spans="1:58">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row>
    <row r="105" spans="1:58">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row>
    <row r="106" spans="1:58">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row>
    <row r="107" spans="1:58">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row>
    <row r="108" spans="1:58">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row>
    <row r="109" spans="1:58">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row>
    <row r="110" spans="1:58">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row>
    <row r="111" spans="1:58">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row>
    <row r="112" spans="1:58">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row>
    <row r="113" spans="1:58">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row>
    <row r="114" spans="1:58">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row>
    <row r="115" spans="1:58">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row>
    <row r="116" spans="1:58">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row>
    <row r="117" spans="1:58">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row>
    <row r="118" spans="1:58">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row>
    <row r="119" spans="1:58">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row>
    <row r="120" spans="1:58">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row>
    <row r="121" spans="1:58">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row>
    <row r="122" spans="1:58">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row>
    <row r="123" spans="1:58">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row>
    <row r="124" spans="1:58">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row>
    <row r="125" spans="1:58">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row>
    <row r="126" spans="1:58">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row>
    <row r="127" spans="1:58">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row>
    <row r="128" spans="1:58">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row>
    <row r="129" spans="1:58">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row>
    <row r="130" spans="1:58">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row>
    <row r="131" spans="1:58">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row>
    <row r="132" spans="1:58">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row>
    <row r="133" spans="1:58">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row>
    <row r="134" spans="1:58">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row>
    <row r="135" spans="1:58">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row>
    <row r="136" spans="1:58">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row>
    <row r="137" spans="1:58">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row>
    <row r="138" spans="1:58">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row>
    <row r="139" spans="1:58">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row>
    <row r="140" spans="1:58">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row>
    <row r="141" spans="1:58">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row>
    <row r="142" spans="1:58">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row>
    <row r="143" spans="1:58">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row>
    <row r="144" spans="1:58">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row>
    <row r="145" spans="1:58">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row>
    <row r="146" spans="1:58">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row>
    <row r="147" spans="1:58">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row>
    <row r="148" spans="1:58">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row>
    <row r="149" spans="1:58">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row>
    <row r="150" spans="1:58">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row>
    <row r="151" spans="1:58">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row>
    <row r="152" spans="1:58">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row>
    <row r="153" spans="1:58">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row>
    <row r="154" spans="1:58">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row>
    <row r="155" spans="1:58">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row>
    <row r="156" spans="1:58">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row>
    <row r="157" spans="1:58">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row>
    <row r="158" spans="1:58">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row>
    <row r="159" spans="1:58">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row>
    <row r="160" spans="1:58">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row>
    <row r="161" spans="1:58">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row>
    <row r="162" spans="1:58">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row>
    <row r="163" spans="1:58">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row>
    <row r="164" spans="1:58">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row>
    <row r="165" spans="1:58">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row>
    <row r="166" spans="1:58">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row>
    <row r="167" spans="1:58">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row>
    <row r="168" spans="1:58">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row>
    <row r="169" spans="1:58">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row>
    <row r="170" spans="1:58">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row>
    <row r="171" spans="1:58">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row>
    <row r="172" spans="1:58">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row>
    <row r="173" spans="1:58">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row>
    <row r="174" spans="1:58">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row>
    <row r="175" spans="1:58">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row>
    <row r="176" spans="1:58">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row>
    <row r="177" spans="1:58">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row>
    <row r="178" spans="1:58">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row>
    <row r="179" spans="1:58">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row>
    <row r="180" spans="1:58">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row>
    <row r="181" spans="1:58">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row>
    <row r="182" spans="1:58">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row>
    <row r="183" spans="1:58">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row>
    <row r="184" spans="1:58">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row>
    <row r="185" spans="1:58">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row>
    <row r="186" spans="1:58">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row>
    <row r="187" spans="1:58">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row>
    <row r="188" spans="1:58">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row>
    <row r="189" spans="1:58">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row>
    <row r="190" spans="1:58">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row>
    <row r="191" spans="1:58">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row>
    <row r="192" spans="1:58">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row>
    <row r="193" spans="1:58">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row>
    <row r="194" spans="1:58">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row>
    <row r="195" spans="1:58">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row>
    <row r="196" spans="1:58">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row>
    <row r="197" spans="1:58">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row>
    <row r="198" spans="1:58">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row>
    <row r="199" spans="1:58">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row>
    <row r="200" spans="1:58">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row>
    <row r="201" spans="1:58">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row>
    <row r="202" spans="1:58">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row>
    <row r="203" spans="1:58">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row>
    <row r="204" spans="1:58">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row>
    <row r="205" spans="1:58">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row>
    <row r="206" spans="1:58">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row>
    <row r="207" spans="1:58">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row>
    <row r="208" spans="1:58">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row>
    <row r="209" spans="1:58">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row>
    <row r="210" spans="1:58">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row>
    <row r="211" spans="1:58">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row>
    <row r="212" spans="1:58">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row>
    <row r="213" spans="1:58">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row>
    <row r="214" spans="1:58">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row>
    <row r="215" spans="1:58">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row>
    <row r="216" spans="1:58">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row>
    <row r="217" spans="1:58">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row>
    <row r="218" spans="1:58">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row>
    <row r="219" spans="1:58">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row>
    <row r="220" spans="1:58">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row>
    <row r="221" spans="1:58">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row>
    <row r="222" spans="1:58">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row>
    <row r="223" spans="1:58">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row>
    <row r="224" spans="1:58">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row>
    <row r="225" spans="1:58">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row>
    <row r="226" spans="1:58">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row>
    <row r="227" spans="1:58">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row>
    <row r="228" spans="1:58">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row>
    <row r="229" spans="1:58">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row>
    <row r="230" spans="1:58">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row>
    <row r="231" spans="1:58">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row>
    <row r="232" spans="1:58">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row>
    <row r="233" spans="1:58">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row>
    <row r="234" spans="1:58">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row>
    <row r="235" spans="1:58">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row>
    <row r="236" spans="1:58">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row>
    <row r="237" spans="1:58">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row>
    <row r="238" spans="1:58">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row>
    <row r="239" spans="1:58">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row>
    <row r="240" spans="1:58">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row>
    <row r="241" spans="1:58">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row>
    <row r="242" spans="1:58">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row>
    <row r="243" spans="1:58">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row>
    <row r="244" spans="1:58">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row>
    <row r="245" spans="1:58">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row>
    <row r="246" spans="1:58">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row>
    <row r="247" spans="1:58">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row>
    <row r="248" spans="1:58">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row>
    <row r="249" spans="1:58">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row>
    <row r="250" spans="1:58">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row>
    <row r="251" spans="1:58">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row>
    <row r="252" spans="1:58">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row>
    <row r="253" spans="1:58">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row>
    <row r="254" spans="1:58">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row>
    <row r="255" spans="1:58">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row>
    <row r="256" spans="1:58">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row>
    <row r="257" spans="1:58">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row>
    <row r="258" spans="1:58">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row>
    <row r="259" spans="1:58">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row>
    <row r="260" spans="1:58">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row>
    <row r="261" spans="1:58">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row>
    <row r="262" spans="1:58">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row>
    <row r="263" spans="1:58">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row>
    <row r="264" spans="1:58">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row>
    <row r="265" spans="1:58">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row>
    <row r="266" spans="1:58">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row>
    <row r="267" spans="1:58">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row>
    <row r="268" spans="1:58">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row>
    <row r="269" spans="1:58">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row>
    <row r="270" spans="1:58">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row>
    <row r="271" spans="1:58">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row>
    <row r="272" spans="1:58">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row>
    <row r="273" spans="1:58">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row>
    <row r="274" spans="1:58">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row>
    <row r="275" spans="1:58">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row>
    <row r="276" spans="1:58">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row>
    <row r="277" spans="1:58">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row>
    <row r="278" spans="1:58">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row>
    <row r="279" spans="1:58">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row>
    <row r="280" spans="1:58">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row>
    <row r="281" spans="1:58">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row>
    <row r="282" spans="1:58">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row>
    <row r="283" spans="1:58">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row>
    <row r="284" spans="1:58">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row>
    <row r="285" spans="1:58">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row>
    <row r="286" spans="1:58">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row>
    <row r="287" spans="1:58">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row>
    <row r="288" spans="1:58">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row>
    <row r="289" spans="1:58">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row>
    <row r="290" spans="1:58">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row>
    <row r="291" spans="1:58">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row>
    <row r="292" spans="1:58">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row>
    <row r="293" spans="1:58">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row>
    <row r="294" spans="1:58">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row>
    <row r="295" spans="1:58">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row>
    <row r="296" spans="1:58">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row>
    <row r="297" spans="1:58">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row>
    <row r="298" spans="1:58">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row>
    <row r="299" spans="1:58">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row>
    <row r="300" spans="1:58">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row>
    <row r="301" spans="1:58">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row>
    <row r="302" spans="1:58">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row>
    <row r="303" spans="1:58">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row>
    <row r="304" spans="1:58">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row>
    <row r="305" spans="1:58">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row>
    <row r="306" spans="1:58">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row>
    <row r="307" spans="1:58">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row>
    <row r="308" spans="1:58">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row>
    <row r="309" spans="1:58">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row>
    <row r="310" spans="1:58">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row>
    <row r="311" spans="1:58">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row>
    <row r="312" spans="1:58">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row>
    <row r="313" spans="1:58">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row>
    <row r="314" spans="1:58">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row>
    <row r="315" spans="1:58">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row>
    <row r="316" spans="1:58">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row>
    <row r="317" spans="1:58">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row>
    <row r="318" spans="1:58">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row>
    <row r="319" spans="1:58">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row>
    <row r="320" spans="1:58">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row>
    <row r="321" spans="1:58">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row>
  </sheetData>
  <mergeCells count="2">
    <mergeCell ref="A1:A2"/>
    <mergeCell ref="B1:E1"/>
  </mergeCells>
  <pageMargins left="0.7" right="0.7" top="0.75" bottom="0.75" header="0.3" footer="0.3"/>
  <drawing r:id="rId1"/>
  <legacyDrawing r:id="rId2"/>
  <controls>
    <mc:AlternateContent xmlns:mc="http://schemas.openxmlformats.org/markup-compatibility/2006">
      <mc:Choice Requires="x14">
        <control shapeId="3073" r:id="rId3" name="ListBox1">
          <controlPr locked="0" defaultSize="0" autoLine="0" autoPict="0" linkedCell="P9" listFillRange="ÜLKELER" r:id="rId4">
            <anchor moveWithCells="1">
              <from>
                <xdr:col>5</xdr:col>
                <xdr:colOff>15240</xdr:colOff>
                <xdr:row>2</xdr:row>
                <xdr:rowOff>53340</xdr:rowOff>
              </from>
              <to>
                <xdr:col>8</xdr:col>
                <xdr:colOff>236220</xdr:colOff>
                <xdr:row>25</xdr:row>
                <xdr:rowOff>30480</xdr:rowOff>
              </to>
            </anchor>
          </controlPr>
        </control>
      </mc:Choice>
      <mc:Fallback>
        <control shapeId="3073" r:id="rId3" name="List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6B005-4F24-4D52-B1BA-0CF58ACDE292}">
  <sheetPr codeName="Sayfa4"/>
  <dimension ref="A1:BH333"/>
  <sheetViews>
    <sheetView zoomScale="55" zoomScaleNormal="55" workbookViewId="0">
      <selection sqref="A1:A2"/>
    </sheetView>
  </sheetViews>
  <sheetFormatPr defaultRowHeight="14.4"/>
  <cols>
    <col min="1" max="1" width="14.6640625" bestFit="1" customWidth="1"/>
    <col min="2" max="23" width="7.5546875" bestFit="1" customWidth="1"/>
    <col min="30" max="37" width="7.5546875" bestFit="1" customWidth="1"/>
  </cols>
  <sheetData>
    <row r="1" spans="1:60">
      <c r="A1" s="141" t="s">
        <v>113</v>
      </c>
      <c r="B1" s="142" t="s">
        <v>99</v>
      </c>
      <c r="C1" s="142"/>
      <c r="D1" s="142"/>
      <c r="E1" s="142"/>
      <c r="F1" s="142"/>
      <c r="G1" s="142"/>
      <c r="H1" s="142"/>
      <c r="I1" s="142"/>
      <c r="J1" s="143" t="s">
        <v>100</v>
      </c>
      <c r="K1" s="143"/>
      <c r="L1" s="143"/>
      <c r="M1" s="143"/>
      <c r="N1" s="143"/>
      <c r="O1" s="143"/>
      <c r="P1" s="143"/>
      <c r="Q1" s="142" t="s">
        <v>101</v>
      </c>
      <c r="R1" s="142"/>
      <c r="S1" s="142"/>
      <c r="T1" s="142"/>
      <c r="U1" s="142"/>
      <c r="V1" s="142"/>
      <c r="W1" s="142"/>
      <c r="X1" s="1"/>
      <c r="Y1" s="1"/>
      <c r="Z1" s="1"/>
      <c r="AA1" s="1"/>
      <c r="AB1" s="1"/>
      <c r="AC1" s="1" t="s">
        <v>99</v>
      </c>
      <c r="AD1" s="5" t="s">
        <v>102</v>
      </c>
      <c r="AE1" s="5" t="s">
        <v>103</v>
      </c>
      <c r="AF1" s="5" t="s">
        <v>104</v>
      </c>
      <c r="AG1" s="5" t="s">
        <v>105</v>
      </c>
      <c r="AH1" s="5" t="s">
        <v>106</v>
      </c>
      <c r="AI1" s="5" t="s">
        <v>107</v>
      </c>
      <c r="AJ1" s="5" t="s">
        <v>108</v>
      </c>
      <c r="AK1" s="5" t="s">
        <v>109</v>
      </c>
      <c r="AL1" s="1"/>
      <c r="AM1" s="1"/>
      <c r="AN1" s="1"/>
      <c r="AO1" s="1"/>
      <c r="AP1" s="1"/>
      <c r="AQ1" s="1"/>
      <c r="AR1" s="1"/>
      <c r="AS1" s="1"/>
      <c r="AT1" s="1"/>
      <c r="AU1" s="1"/>
      <c r="AV1" s="1"/>
      <c r="AW1" s="1"/>
      <c r="AX1" s="1"/>
      <c r="AY1" s="1"/>
      <c r="AZ1" s="1"/>
      <c r="BA1" s="1"/>
      <c r="BB1" s="1"/>
      <c r="BC1" s="1"/>
      <c r="BD1" s="1"/>
      <c r="BE1" s="1"/>
      <c r="BF1" s="1"/>
      <c r="BG1" s="1"/>
      <c r="BH1" s="1"/>
    </row>
    <row r="2" spans="1:60">
      <c r="A2" s="142"/>
      <c r="B2" s="5" t="s">
        <v>102</v>
      </c>
      <c r="C2" s="5" t="s">
        <v>103</v>
      </c>
      <c r="D2" s="5" t="s">
        <v>104</v>
      </c>
      <c r="E2" s="5" t="s">
        <v>105</v>
      </c>
      <c r="F2" s="5" t="s">
        <v>106</v>
      </c>
      <c r="G2" s="5" t="s">
        <v>107</v>
      </c>
      <c r="H2" s="5" t="s">
        <v>108</v>
      </c>
      <c r="I2" s="5" t="s">
        <v>109</v>
      </c>
      <c r="J2" s="5" t="s">
        <v>102</v>
      </c>
      <c r="K2" s="5" t="s">
        <v>103</v>
      </c>
      <c r="L2" s="5" t="s">
        <v>104</v>
      </c>
      <c r="M2" s="5" t="s">
        <v>105</v>
      </c>
      <c r="N2" s="5" t="s">
        <v>106</v>
      </c>
      <c r="O2" s="5" t="s">
        <v>107</v>
      </c>
      <c r="P2" s="5" t="s">
        <v>108</v>
      </c>
      <c r="Q2" s="5" t="s">
        <v>102</v>
      </c>
      <c r="R2" s="5" t="s">
        <v>103</v>
      </c>
      <c r="S2" s="5" t="s">
        <v>104</v>
      </c>
      <c r="T2" s="5" t="s">
        <v>105</v>
      </c>
      <c r="U2" s="5" t="s">
        <v>106</v>
      </c>
      <c r="V2" s="5" t="s">
        <v>107</v>
      </c>
      <c r="W2" s="5" t="s">
        <v>108</v>
      </c>
      <c r="X2" s="1"/>
      <c r="Y2" s="1"/>
      <c r="Z2" s="1"/>
      <c r="AA2" s="1"/>
      <c r="AB2" s="1"/>
      <c r="AC2" s="1" t="s">
        <v>12</v>
      </c>
      <c r="AD2" s="10">
        <f>VLOOKUP(AC2,A3:I38,2,0)</f>
        <v>0.28517573225322479</v>
      </c>
      <c r="AE2" s="10">
        <f t="shared" ref="AE2:AK2" si="0">VLOOKUP(AD2,B3:J38,2,0)</f>
        <v>2.0593108320770463</v>
      </c>
      <c r="AF2" s="10">
        <f t="shared" si="0"/>
        <v>8.7097948607804572</v>
      </c>
      <c r="AG2" s="10">
        <f t="shared" si="0"/>
        <v>21.159820791914271</v>
      </c>
      <c r="AH2" s="10">
        <f t="shared" si="0"/>
        <v>29.896048262573387</v>
      </c>
      <c r="AI2" s="10">
        <f t="shared" si="0"/>
        <v>24.030530985492362</v>
      </c>
      <c r="AJ2" s="10">
        <f t="shared" si="0"/>
        <v>11.053392406976515</v>
      </c>
      <c r="AK2" s="10">
        <f t="shared" si="0"/>
        <v>2.8059261279327448</v>
      </c>
      <c r="AL2" s="1"/>
      <c r="AM2" s="1"/>
      <c r="AN2" s="1"/>
      <c r="AO2" s="1"/>
      <c r="AP2" s="1"/>
      <c r="AQ2" s="1"/>
      <c r="AR2" s="1"/>
      <c r="AS2" s="1"/>
      <c r="AT2" s="1"/>
      <c r="AU2" s="1"/>
      <c r="AV2" s="1"/>
      <c r="AW2" s="1"/>
      <c r="AX2" s="1"/>
      <c r="AY2" s="1"/>
      <c r="AZ2" s="1"/>
      <c r="BA2" s="1"/>
      <c r="BB2" s="1"/>
      <c r="BC2" s="1"/>
      <c r="BD2" s="1"/>
      <c r="BE2" s="1"/>
      <c r="BF2" s="1"/>
      <c r="BG2" s="1"/>
      <c r="BH2" s="1"/>
    </row>
    <row r="3" spans="1:60">
      <c r="A3" s="5" t="s">
        <v>4</v>
      </c>
      <c r="B3" s="7">
        <v>1.52545400688272</v>
      </c>
      <c r="C3" s="7">
        <v>5.5717757769493446</v>
      </c>
      <c r="D3" s="7">
        <v>12.530158886046044</v>
      </c>
      <c r="E3" s="7">
        <v>21.111200248840397</v>
      </c>
      <c r="F3" s="7">
        <v>25.375310326218134</v>
      </c>
      <c r="G3" s="7">
        <v>20.868243160268264</v>
      </c>
      <c r="H3" s="7">
        <v>10.329688134027259</v>
      </c>
      <c r="I3" s="7">
        <v>2.6881694607678348</v>
      </c>
      <c r="J3" s="7">
        <v>7.6186715117376211</v>
      </c>
      <c r="K3" s="7">
        <v>14.814451379153136</v>
      </c>
      <c r="L3" s="7">
        <v>23.37664529242366</v>
      </c>
      <c r="M3" s="7">
        <v>25.550001131745834</v>
      </c>
      <c r="N3" s="7">
        <v>18.177123411535788</v>
      </c>
      <c r="O3" s="7">
        <v>8.0039972703690818</v>
      </c>
      <c r="P3" s="7">
        <v>2.4591100030348776</v>
      </c>
      <c r="Q3" s="7">
        <v>5.1118743862934375</v>
      </c>
      <c r="R3" s="7">
        <v>4.4672316554992504</v>
      </c>
      <c r="S3" s="7">
        <v>13.748146449513616</v>
      </c>
      <c r="T3" s="7">
        <v>23.002189869538974</v>
      </c>
      <c r="U3" s="7">
        <v>27.493663824136924</v>
      </c>
      <c r="V3" s="7">
        <v>21.162922995829803</v>
      </c>
      <c r="W3" s="7">
        <v>9.4812024746872563</v>
      </c>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row>
    <row r="4" spans="1:60">
      <c r="A4" s="5" t="s">
        <v>5</v>
      </c>
      <c r="B4" s="7">
        <v>0.95792076716295904</v>
      </c>
      <c r="C4" s="7">
        <v>6.4072487496713286</v>
      </c>
      <c r="D4" s="7">
        <v>16.258092882058353</v>
      </c>
      <c r="E4" s="7">
        <v>23.483884872189204</v>
      </c>
      <c r="F4" s="7">
        <v>26.211394262469209</v>
      </c>
      <c r="G4" s="7">
        <v>19.270050773067947</v>
      </c>
      <c r="H4" s="7">
        <v>6.6720101442621136</v>
      </c>
      <c r="I4" s="7">
        <v>0.73939754911888433</v>
      </c>
      <c r="J4" s="7">
        <v>7.2719515796280723</v>
      </c>
      <c r="K4" s="7">
        <v>13.806925837122106</v>
      </c>
      <c r="L4" s="7">
        <v>20.827325300945784</v>
      </c>
      <c r="M4" s="7">
        <v>24.906692558989416</v>
      </c>
      <c r="N4" s="7">
        <v>20.62873183509689</v>
      </c>
      <c r="O4" s="7">
        <v>10.033267300187983</v>
      </c>
      <c r="P4" s="7">
        <v>2.5251055880297497</v>
      </c>
      <c r="Q4" s="7">
        <v>5.3991136084097553</v>
      </c>
      <c r="R4" s="7">
        <v>4.8414811303141212</v>
      </c>
      <c r="S4" s="7">
        <v>16.452095657995208</v>
      </c>
      <c r="T4" s="7">
        <v>24.975881341359017</v>
      </c>
      <c r="U4" s="7">
        <v>27.639829014304116</v>
      </c>
      <c r="V4" s="7">
        <v>19.237713092635293</v>
      </c>
      <c r="W4" s="7">
        <v>6.2953672852966172</v>
      </c>
      <c r="X4" s="1"/>
      <c r="Y4" s="1"/>
      <c r="Z4" s="1"/>
      <c r="AA4" s="1"/>
      <c r="AB4" s="1"/>
      <c r="AC4" s="1" t="s">
        <v>100</v>
      </c>
      <c r="AD4" s="5" t="s">
        <v>102</v>
      </c>
      <c r="AE4" s="5" t="s">
        <v>103</v>
      </c>
      <c r="AF4" s="5" t="s">
        <v>104</v>
      </c>
      <c r="AG4" s="5" t="s">
        <v>105</v>
      </c>
      <c r="AH4" s="5" t="s">
        <v>106</v>
      </c>
      <c r="AI4" s="5" t="s">
        <v>107</v>
      </c>
      <c r="AJ4" s="5" t="s">
        <v>108</v>
      </c>
      <c r="AK4" s="1"/>
      <c r="AL4" s="1"/>
      <c r="AM4" s="1"/>
      <c r="AN4" s="1"/>
      <c r="AO4" s="1"/>
      <c r="AP4" s="1"/>
      <c r="AQ4" s="1"/>
      <c r="AR4" s="1"/>
      <c r="AS4" s="1"/>
      <c r="AT4" s="1"/>
      <c r="AU4" s="1"/>
      <c r="AV4" s="1"/>
      <c r="AW4" s="1"/>
      <c r="AX4" s="1"/>
      <c r="AY4" s="1"/>
      <c r="AZ4" s="1"/>
      <c r="BA4" s="1"/>
      <c r="BB4" s="1"/>
      <c r="BC4" s="1"/>
      <c r="BD4" s="1"/>
      <c r="BE4" s="1"/>
      <c r="BF4" s="1"/>
      <c r="BG4" s="1"/>
      <c r="BH4" s="1"/>
    </row>
    <row r="5" spans="1:60">
      <c r="A5" s="5" t="s">
        <v>6</v>
      </c>
      <c r="B5" s="7">
        <v>1.2151912019926585</v>
      </c>
      <c r="C5" s="7">
        <v>5.991531068064706</v>
      </c>
      <c r="D5" s="7">
        <v>14.04674002621492</v>
      </c>
      <c r="E5" s="7">
        <v>22.355538232923426</v>
      </c>
      <c r="F5" s="7">
        <v>26.482681166328888</v>
      </c>
      <c r="G5" s="7">
        <v>20.361347521786655</v>
      </c>
      <c r="H5" s="7">
        <v>8.2653141459606054</v>
      </c>
      <c r="I5" s="7">
        <v>1.2816566367281426</v>
      </c>
      <c r="J5" s="7">
        <v>6.8631034302455944</v>
      </c>
      <c r="K5" s="7">
        <v>12.798822240249386</v>
      </c>
      <c r="L5" s="7">
        <v>18.616672802221071</v>
      </c>
      <c r="M5" s="7">
        <v>23.765890572115818</v>
      </c>
      <c r="N5" s="7">
        <v>22.223697385924645</v>
      </c>
      <c r="O5" s="7">
        <v>12.49915454431774</v>
      </c>
      <c r="P5" s="7">
        <v>3.2326590249257601</v>
      </c>
      <c r="Q5" s="7">
        <v>5.8565217721102449</v>
      </c>
      <c r="R5" s="7">
        <v>5.3058708626436406</v>
      </c>
      <c r="S5" s="7">
        <v>14.150575064297579</v>
      </c>
      <c r="T5" s="7">
        <v>22.22453213580749</v>
      </c>
      <c r="U5" s="7">
        <v>28.402779860943703</v>
      </c>
      <c r="V5" s="7">
        <v>21.332323448867466</v>
      </c>
      <c r="W5" s="7">
        <v>8.033267717973521</v>
      </c>
      <c r="X5" s="1"/>
      <c r="Y5" s="1"/>
      <c r="Z5" s="1"/>
      <c r="AA5" s="1"/>
      <c r="AB5" s="1"/>
      <c r="AC5" s="1" t="str">
        <f>AC2</f>
        <v>Estonia</v>
      </c>
      <c r="AD5" s="10">
        <f>VLOOKUP(AC2,A3:P38,10,0)</f>
        <v>2.0866727772204441</v>
      </c>
      <c r="AE5" s="10">
        <f t="shared" ref="AE5:AJ5" si="1">VLOOKUP(AD2,B3:Q38,10,0)</f>
        <v>8.1297435169410264</v>
      </c>
      <c r="AF5" s="10">
        <f t="shared" si="1"/>
        <v>20.790873833259081</v>
      </c>
      <c r="AG5" s="10">
        <f t="shared" si="1"/>
        <v>28.953315480454719</v>
      </c>
      <c r="AH5" s="10">
        <f t="shared" si="1"/>
        <v>24.553715551143032</v>
      </c>
      <c r="AI5" s="10">
        <f t="shared" si="1"/>
        <v>11.820761274296132</v>
      </c>
      <c r="AJ5" s="10">
        <f t="shared" si="1"/>
        <v>3.6649175666855722</v>
      </c>
      <c r="AK5" s="1"/>
      <c r="AL5" s="1"/>
      <c r="AM5" s="1"/>
      <c r="AN5" s="1"/>
      <c r="AO5" s="1"/>
      <c r="AP5" s="1"/>
      <c r="AQ5" s="1"/>
      <c r="AR5" s="1"/>
      <c r="AS5" s="1"/>
      <c r="AT5" s="1"/>
      <c r="AU5" s="1"/>
      <c r="AV5" s="1"/>
      <c r="AW5" s="1"/>
      <c r="AX5" s="1"/>
      <c r="AY5" s="1"/>
      <c r="AZ5" s="1"/>
      <c r="BA5" s="1"/>
      <c r="BB5" s="1"/>
      <c r="BC5" s="1"/>
      <c r="BD5" s="1"/>
      <c r="BE5" s="1"/>
      <c r="BF5" s="1"/>
      <c r="BG5" s="1"/>
      <c r="BH5" s="1"/>
    </row>
    <row r="6" spans="1:60">
      <c r="A6" s="5" t="s">
        <v>7</v>
      </c>
      <c r="B6" s="7">
        <v>0.69523737071088398</v>
      </c>
      <c r="C6" s="7">
        <v>3.0996066415013659</v>
      </c>
      <c r="D6" s="7">
        <v>9.9554683351344782</v>
      </c>
      <c r="E6" s="7">
        <v>20.118562433168474</v>
      </c>
      <c r="F6" s="7">
        <v>27.164958351790286</v>
      </c>
      <c r="G6" s="7">
        <v>23.973145509466448</v>
      </c>
      <c r="H6" s="7">
        <v>12.154291347139534</v>
      </c>
      <c r="I6" s="7">
        <v>2.8387300110885469</v>
      </c>
      <c r="J6" s="7">
        <v>4.9857808359647322</v>
      </c>
      <c r="K6" s="7">
        <v>11.275407957283921</v>
      </c>
      <c r="L6" s="7">
        <v>20.811211124832592</v>
      </c>
      <c r="M6" s="7">
        <v>25.876744303611805</v>
      </c>
      <c r="N6" s="7">
        <v>21.721627831855628</v>
      </c>
      <c r="O6" s="7">
        <v>11.311396241491144</v>
      </c>
      <c r="P6" s="7">
        <v>4.0178317049601926</v>
      </c>
      <c r="Q6" s="7">
        <v>2.9747481387895514</v>
      </c>
      <c r="R6" s="7">
        <v>2.5752999107766334</v>
      </c>
      <c r="S6" s="7">
        <v>10.461167633326532</v>
      </c>
      <c r="T6" s="7">
        <v>22.380403216001522</v>
      </c>
      <c r="U6" s="7">
        <v>29.349304472050605</v>
      </c>
      <c r="V6" s="7">
        <v>23.502880513760999</v>
      </c>
      <c r="W6" s="7">
        <v>11.331496026070791</v>
      </c>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row>
    <row r="7" spans="1:60">
      <c r="A7" s="5" t="s">
        <v>8</v>
      </c>
      <c r="B7" s="7">
        <v>1.8178071925418966</v>
      </c>
      <c r="C7" s="7">
        <v>8.8680682405112119</v>
      </c>
      <c r="D7" s="7">
        <v>21.035076432031769</v>
      </c>
      <c r="E7" s="7">
        <v>29.487161222958431</v>
      </c>
      <c r="F7" s="7">
        <v>24.418886670906481</v>
      </c>
      <c r="G7" s="7">
        <v>11.778832684859061</v>
      </c>
      <c r="H7" s="7">
        <v>2.4104331504176573</v>
      </c>
      <c r="I7" s="7">
        <v>0.183734405773503</v>
      </c>
      <c r="J7" s="7">
        <v>24.677316650356342</v>
      </c>
      <c r="K7" s="7">
        <v>27.23124208615463</v>
      </c>
      <c r="L7" s="7">
        <v>25.528043884476041</v>
      </c>
      <c r="M7" s="7">
        <v>15.622269740611049</v>
      </c>
      <c r="N7" s="7">
        <v>5.7148663521926171</v>
      </c>
      <c r="O7" s="7">
        <v>1.0979946285676077</v>
      </c>
      <c r="P7" s="7">
        <v>0.12826665764171696</v>
      </c>
      <c r="Q7" s="7">
        <v>9.7990722194513289</v>
      </c>
      <c r="R7" s="7">
        <v>8.8273446760537464</v>
      </c>
      <c r="S7" s="7">
        <v>25.544428465378704</v>
      </c>
      <c r="T7" s="7">
        <v>33.124783943931227</v>
      </c>
      <c r="U7" s="7">
        <v>22.561535125020058</v>
      </c>
      <c r="V7" s="7">
        <v>7.9401196366553197</v>
      </c>
      <c r="W7" s="7">
        <v>1.0300606095633689</v>
      </c>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row>
    <row r="8" spans="1:60">
      <c r="A8" s="5" t="s">
        <v>9</v>
      </c>
      <c r="B8" s="7">
        <v>3.7990315461069217</v>
      </c>
      <c r="C8" s="7">
        <v>15.779130116884467</v>
      </c>
      <c r="D8" s="7">
        <v>30.324987717275668</v>
      </c>
      <c r="E8" s="7">
        <v>27.662931102942306</v>
      </c>
      <c r="F8" s="7">
        <v>15.811803357880477</v>
      </c>
      <c r="G8" s="7">
        <v>5.6762119889485723</v>
      </c>
      <c r="H8" s="7">
        <v>0.91093190875601493</v>
      </c>
      <c r="I8" s="7">
        <v>3.4972261205581827E-2</v>
      </c>
      <c r="J8" s="7">
        <v>35.50074917118647</v>
      </c>
      <c r="K8" s="7">
        <v>29.886046200852704</v>
      </c>
      <c r="L8" s="7">
        <v>21.088514134641699</v>
      </c>
      <c r="M8" s="7">
        <v>9.9501585951410618</v>
      </c>
      <c r="N8" s="7">
        <v>3.0586964157801462</v>
      </c>
      <c r="O8" s="7">
        <v>0.48672442176216041</v>
      </c>
      <c r="P8" s="7">
        <v>2.911106063576311E-2</v>
      </c>
      <c r="Q8" s="7">
        <v>17.377062298384839</v>
      </c>
      <c r="R8" s="7">
        <v>15.31034081197582</v>
      </c>
      <c r="S8" s="7">
        <v>32.989774146019954</v>
      </c>
      <c r="T8" s="7">
        <v>29.64105650617293</v>
      </c>
      <c r="U8" s="7">
        <v>15.366947714909088</v>
      </c>
      <c r="V8" s="7">
        <v>4.1840678144320327</v>
      </c>
      <c r="W8" s="7">
        <v>0.44109152008116459</v>
      </c>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row>
    <row r="9" spans="1:60">
      <c r="A9" s="5" t="s">
        <v>10</v>
      </c>
      <c r="B9" s="7">
        <v>0.79821945767741664</v>
      </c>
      <c r="C9" s="7">
        <v>4.9627911013758634</v>
      </c>
      <c r="D9" s="7">
        <v>14.979472243727557</v>
      </c>
      <c r="E9" s="7">
        <v>24.956897449430656</v>
      </c>
      <c r="F9" s="7">
        <v>26.936234043475771</v>
      </c>
      <c r="G9" s="7">
        <v>19.1299194002784</v>
      </c>
      <c r="H9" s="7">
        <v>7.1840824515191573</v>
      </c>
      <c r="I9" s="7">
        <v>1.0523838525151894</v>
      </c>
      <c r="J9" s="7">
        <v>6.6257873921386938</v>
      </c>
      <c r="K9" s="7">
        <v>13.759292774731286</v>
      </c>
      <c r="L9" s="7">
        <v>22.105958975795026</v>
      </c>
      <c r="M9" s="7">
        <v>25.194516976032709</v>
      </c>
      <c r="N9" s="7">
        <v>19.646932619266593</v>
      </c>
      <c r="O9" s="7">
        <v>9.5267067492521456</v>
      </c>
      <c r="P9" s="7">
        <v>3.1408045127835522</v>
      </c>
      <c r="Q9" s="7">
        <v>4.2793447895451395</v>
      </c>
      <c r="R9" s="7">
        <v>3.8978666546292184</v>
      </c>
      <c r="S9" s="7">
        <v>14.485357412976654</v>
      </c>
      <c r="T9" s="7">
        <v>25.925214102857456</v>
      </c>
      <c r="U9" s="7">
        <v>28.712048298028506</v>
      </c>
      <c r="V9" s="7">
        <v>19.06363394673269</v>
      </c>
      <c r="W9" s="7">
        <v>7.5344014498595548</v>
      </c>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row>
    <row r="10" spans="1:60">
      <c r="A10" s="5" t="s">
        <v>11</v>
      </c>
      <c r="B10" s="7">
        <v>0.57998273335125028</v>
      </c>
      <c r="C10" s="7">
        <v>3.5125757649779632</v>
      </c>
      <c r="D10" s="7">
        <v>11.906975181868324</v>
      </c>
      <c r="E10" s="7">
        <v>23.901206970979313</v>
      </c>
      <c r="F10" s="7">
        <v>30.10723144739385</v>
      </c>
      <c r="G10" s="7">
        <v>21.576709449419351</v>
      </c>
      <c r="H10" s="7">
        <v>7.3123769967829091</v>
      </c>
      <c r="I10" s="7">
        <v>1.1029414552270402</v>
      </c>
      <c r="J10" s="7">
        <v>3.715244362975767</v>
      </c>
      <c r="K10" s="7">
        <v>10.855948918021145</v>
      </c>
      <c r="L10" s="7">
        <v>21.970503221781083</v>
      </c>
      <c r="M10" s="7">
        <v>28.819542920225999</v>
      </c>
      <c r="N10" s="7">
        <v>23.010397366833395</v>
      </c>
      <c r="O10" s="7">
        <v>9.5073188253128649</v>
      </c>
      <c r="P10" s="7">
        <v>2.1210443848497511</v>
      </c>
      <c r="Q10" s="7">
        <v>4.8048014657687936</v>
      </c>
      <c r="R10" s="7">
        <v>4.1473807572988326</v>
      </c>
      <c r="S10" s="7">
        <v>13.850992464500544</v>
      </c>
      <c r="T10" s="7">
        <v>26.568378913457096</v>
      </c>
      <c r="U10" s="7">
        <v>30.114505164699054</v>
      </c>
      <c r="V10" s="7">
        <v>19.13384004709188</v>
      </c>
      <c r="W10" s="7">
        <v>5.5274819444826484</v>
      </c>
      <c r="X10" s="1"/>
      <c r="Y10" s="1"/>
      <c r="Z10" s="1"/>
      <c r="AA10" s="1"/>
      <c r="AB10" s="1"/>
      <c r="AC10" s="1"/>
      <c r="AD10" s="5" t="s">
        <v>102</v>
      </c>
      <c r="AE10" s="5" t="s">
        <v>103</v>
      </c>
      <c r="AF10" s="5" t="s">
        <v>104</v>
      </c>
      <c r="AG10" s="5" t="s">
        <v>105</v>
      </c>
      <c r="AH10" s="5" t="s">
        <v>106</v>
      </c>
      <c r="AI10" s="5" t="s">
        <v>107</v>
      </c>
      <c r="AJ10" s="5" t="s">
        <v>108</v>
      </c>
      <c r="AK10" s="1"/>
      <c r="AL10" s="1"/>
      <c r="AM10" s="1"/>
      <c r="AN10" s="1"/>
      <c r="AO10" s="1"/>
      <c r="AP10" s="1"/>
      <c r="AQ10" s="1"/>
      <c r="AR10" s="1"/>
      <c r="AS10" s="1"/>
      <c r="AT10" s="1"/>
      <c r="AU10" s="1"/>
      <c r="AV10" s="1"/>
      <c r="AW10" s="1"/>
      <c r="AX10" s="1"/>
      <c r="AY10" s="1"/>
      <c r="AZ10" s="1"/>
      <c r="BA10" s="1"/>
      <c r="BB10" s="1"/>
      <c r="BC10" s="1"/>
      <c r="BD10" s="1"/>
      <c r="BE10" s="1"/>
      <c r="BF10" s="1"/>
      <c r="BG10" s="1"/>
      <c r="BH10" s="1"/>
    </row>
    <row r="11" spans="1:60">
      <c r="A11" s="5" t="s">
        <v>12</v>
      </c>
      <c r="B11" s="7">
        <v>0.28517573225322479</v>
      </c>
      <c r="C11" s="7">
        <v>2.0593108320770463</v>
      </c>
      <c r="D11" s="7">
        <v>8.7097948607804572</v>
      </c>
      <c r="E11" s="7">
        <v>21.159820791914271</v>
      </c>
      <c r="F11" s="7">
        <v>29.896048262573387</v>
      </c>
      <c r="G11" s="7">
        <v>24.030530985492362</v>
      </c>
      <c r="H11" s="7">
        <v>11.053392406976515</v>
      </c>
      <c r="I11" s="7">
        <v>2.8059261279327448</v>
      </c>
      <c r="J11" s="7">
        <v>2.0866727772204441</v>
      </c>
      <c r="K11" s="7">
        <v>8.1297435169410264</v>
      </c>
      <c r="L11" s="7">
        <v>20.790873833259081</v>
      </c>
      <c r="M11" s="7">
        <v>28.953315480454719</v>
      </c>
      <c r="N11" s="7">
        <v>24.553715551143032</v>
      </c>
      <c r="O11" s="7">
        <v>11.820761274296132</v>
      </c>
      <c r="P11" s="7">
        <v>3.6649175666855722</v>
      </c>
      <c r="Q11" s="7">
        <v>1.2248787547279256</v>
      </c>
      <c r="R11" s="7">
        <v>1.1294515234961409</v>
      </c>
      <c r="S11" s="7">
        <v>7.5327177412708402</v>
      </c>
      <c r="T11" s="7">
        <v>21.512143171909084</v>
      </c>
      <c r="U11" s="7">
        <v>32.106341001368293</v>
      </c>
      <c r="V11" s="7">
        <v>25.424817346534237</v>
      </c>
      <c r="W11" s="7">
        <v>12.199101984189628</v>
      </c>
      <c r="X11" s="1"/>
      <c r="Y11" s="1"/>
      <c r="Z11" s="1"/>
      <c r="AA11" s="1"/>
      <c r="AB11" s="1"/>
      <c r="AC11" s="1" t="str">
        <f>AC5</f>
        <v>Estonia</v>
      </c>
      <c r="AD11" s="10">
        <f>VLOOKUP(AC2,A3:W38,17,0)</f>
        <v>1.2248787547279256</v>
      </c>
      <c r="AE11" s="10">
        <f t="shared" ref="AE11:AJ11" si="2">VLOOKUP(AD2,B3:X38,17,0)</f>
        <v>1.1294515234961409</v>
      </c>
      <c r="AF11" s="10">
        <f t="shared" si="2"/>
        <v>7.5327177412708402</v>
      </c>
      <c r="AG11" s="10">
        <f t="shared" si="2"/>
        <v>21.512143171909084</v>
      </c>
      <c r="AH11" s="10">
        <f t="shared" si="2"/>
        <v>32.106341001368293</v>
      </c>
      <c r="AI11" s="10">
        <f t="shared" si="2"/>
        <v>25.424817346534237</v>
      </c>
      <c r="AJ11" s="10">
        <f t="shared" si="2"/>
        <v>12.199101984189628</v>
      </c>
      <c r="AK11" s="1"/>
      <c r="AL11" s="1"/>
      <c r="AM11" s="1"/>
      <c r="AN11" s="1"/>
      <c r="AO11" s="1"/>
      <c r="AP11" s="1"/>
      <c r="AQ11" s="1"/>
      <c r="AR11" s="1"/>
      <c r="AS11" s="1"/>
      <c r="AT11" s="1"/>
      <c r="AU11" s="1"/>
      <c r="AV11" s="1"/>
      <c r="AW11" s="1"/>
      <c r="AX11" s="1"/>
      <c r="AY11" s="1"/>
      <c r="AZ11" s="1"/>
      <c r="BA11" s="1"/>
      <c r="BB11" s="1"/>
      <c r="BC11" s="1"/>
      <c r="BD11" s="1"/>
      <c r="BE11" s="1"/>
      <c r="BF11" s="1"/>
      <c r="BG11" s="1"/>
      <c r="BH11" s="1"/>
    </row>
    <row r="12" spans="1:60">
      <c r="A12" s="5" t="s">
        <v>13</v>
      </c>
      <c r="B12" s="7">
        <v>0.84842193277228239</v>
      </c>
      <c r="C12" s="7">
        <v>3.3262645873724788</v>
      </c>
      <c r="D12" s="7">
        <v>9.3698397968050653</v>
      </c>
      <c r="E12" s="7">
        <v>19.249470294363213</v>
      </c>
      <c r="F12" s="7">
        <v>27.583046625224114</v>
      </c>
      <c r="G12" s="7">
        <v>25.38904387320656</v>
      </c>
      <c r="H12" s="7">
        <v>11.870713616341501</v>
      </c>
      <c r="I12" s="7">
        <v>2.3631992739147889</v>
      </c>
      <c r="J12" s="7">
        <v>3.8451535242998043</v>
      </c>
      <c r="K12" s="7">
        <v>11.130381632027156</v>
      </c>
      <c r="L12" s="7">
        <v>22.295644948295081</v>
      </c>
      <c r="M12" s="7">
        <v>28.936811432431909</v>
      </c>
      <c r="N12" s="7">
        <v>22.66655095891597</v>
      </c>
      <c r="O12" s="7">
        <v>9.3159481336812799</v>
      </c>
      <c r="P12" s="7">
        <v>1.8095093703488112</v>
      </c>
      <c r="Q12" s="7">
        <v>3.2350982295165527</v>
      </c>
      <c r="R12" s="7">
        <v>2.7973964083737606</v>
      </c>
      <c r="S12" s="7">
        <v>9.6518581013721789</v>
      </c>
      <c r="T12" s="7">
        <v>21.075240285389626</v>
      </c>
      <c r="U12" s="7">
        <v>28.886575414517552</v>
      </c>
      <c r="V12" s="7">
        <v>24.884844947050389</v>
      </c>
      <c r="W12" s="7">
        <v>12.2663830221537</v>
      </c>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row>
    <row r="13" spans="1:60">
      <c r="A13" s="5" t="s">
        <v>14</v>
      </c>
      <c r="B13" s="7">
        <v>1.1778950722000741</v>
      </c>
      <c r="C13" s="7">
        <v>5.7374063849421502</v>
      </c>
      <c r="D13" s="7">
        <v>14.021948548676557</v>
      </c>
      <c r="E13" s="7">
        <v>22.846020265185594</v>
      </c>
      <c r="F13" s="7">
        <v>26.566998642271042</v>
      </c>
      <c r="G13" s="7">
        <v>20.452640762023918</v>
      </c>
      <c r="H13" s="7">
        <v>8.0605466282219442</v>
      </c>
      <c r="I13" s="7">
        <v>1.1365436964787279</v>
      </c>
      <c r="J13" s="7">
        <v>8.0465284540147231</v>
      </c>
      <c r="K13" s="7">
        <v>13.209103465722311</v>
      </c>
      <c r="L13" s="7">
        <v>21.10168822276329</v>
      </c>
      <c r="M13" s="7">
        <v>25.575410470220238</v>
      </c>
      <c r="N13" s="7">
        <v>21.042753095994399</v>
      </c>
      <c r="O13" s="7">
        <v>9.2315067059537057</v>
      </c>
      <c r="P13" s="7">
        <v>1.7930095853313279</v>
      </c>
      <c r="Q13" s="7">
        <v>5.6075289868875586</v>
      </c>
      <c r="R13" s="7">
        <v>5.0054357153978479</v>
      </c>
      <c r="S13" s="7">
        <v>14.892056986589058</v>
      </c>
      <c r="T13" s="7">
        <v>24.573936585062956</v>
      </c>
      <c r="U13" s="7">
        <v>28.345535504554434</v>
      </c>
      <c r="V13" s="7">
        <v>20.030017156446245</v>
      </c>
      <c r="W13" s="7">
        <v>6.5509247804597521</v>
      </c>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row>
    <row r="14" spans="1:60">
      <c r="A14" s="5" t="s">
        <v>15</v>
      </c>
      <c r="B14" s="7">
        <v>1.3647608842138523</v>
      </c>
      <c r="C14" s="7">
        <v>5.7471454592965081</v>
      </c>
      <c r="D14" s="7">
        <v>13.57318857993409</v>
      </c>
      <c r="E14" s="7">
        <v>21.130335542074768</v>
      </c>
      <c r="F14" s="7">
        <v>25.405789763794438</v>
      </c>
      <c r="G14" s="7">
        <v>21.472555614629787</v>
      </c>
      <c r="H14" s="7">
        <v>9.5100681245740404</v>
      </c>
      <c r="I14" s="7">
        <v>1.7961560314825165</v>
      </c>
      <c r="J14" s="7">
        <v>7.5620817709831503</v>
      </c>
      <c r="K14" s="7">
        <v>13.534534586817612</v>
      </c>
      <c r="L14" s="7">
        <v>20.740656357614952</v>
      </c>
      <c r="M14" s="7">
        <v>24.026693020126626</v>
      </c>
      <c r="N14" s="7">
        <v>20.81618948714878</v>
      </c>
      <c r="O14" s="7">
        <v>10.509824185720159</v>
      </c>
      <c r="P14" s="7">
        <v>2.8100205915887231</v>
      </c>
      <c r="Q14" s="7">
        <v>5.793337733742522</v>
      </c>
      <c r="R14" s="7">
        <v>5.030906256690411</v>
      </c>
      <c r="S14" s="7">
        <v>13.807420856144759</v>
      </c>
      <c r="T14" s="7">
        <v>22.031406792714467</v>
      </c>
      <c r="U14" s="7">
        <v>26.918713743036349</v>
      </c>
      <c r="V14" s="7">
        <v>21.455325253359135</v>
      </c>
      <c r="W14" s="7">
        <v>9.9937956210027608</v>
      </c>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row>
    <row r="15" spans="1:60">
      <c r="A15" s="5" t="s">
        <v>16</v>
      </c>
      <c r="B15" s="7">
        <v>2.2396358872542774</v>
      </c>
      <c r="C15" s="7">
        <v>9.3227126321729124</v>
      </c>
      <c r="D15" s="7">
        <v>18.953447848324974</v>
      </c>
      <c r="E15" s="7">
        <v>27.347573891750955</v>
      </c>
      <c r="F15" s="7">
        <v>25.151832262084184</v>
      </c>
      <c r="G15" s="7">
        <v>13.334697377443078</v>
      </c>
      <c r="H15" s="7">
        <v>3.3114227822600784</v>
      </c>
      <c r="I15" s="7">
        <v>0.33867731870955398</v>
      </c>
      <c r="J15" s="7">
        <v>15.316803135821974</v>
      </c>
      <c r="K15" s="7">
        <v>20.522115519403787</v>
      </c>
      <c r="L15" s="7">
        <v>26.827138010857421</v>
      </c>
      <c r="M15" s="7">
        <v>22.492989375032025</v>
      </c>
      <c r="N15" s="7">
        <v>11.096952121706371</v>
      </c>
      <c r="O15" s="7">
        <v>3.2055751859711337</v>
      </c>
      <c r="P15" s="7">
        <v>0.53842665120730138</v>
      </c>
      <c r="Q15" s="7">
        <v>9.3216157136854783</v>
      </c>
      <c r="R15" s="7">
        <v>8.1297024448906434</v>
      </c>
      <c r="S15" s="7">
        <v>22.414569393336095</v>
      </c>
      <c r="T15" s="7">
        <v>31.644113581853329</v>
      </c>
      <c r="U15" s="7">
        <v>26.04254186480248</v>
      </c>
      <c r="V15" s="7">
        <v>9.2660147687505372</v>
      </c>
      <c r="W15" s="7">
        <v>1.3111446775720856</v>
      </c>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row>
    <row r="16" spans="1:60">
      <c r="A16" s="5" t="s">
        <v>17</v>
      </c>
      <c r="B16" s="7">
        <v>1.2838779964433555</v>
      </c>
      <c r="C16" s="7">
        <v>6.9616580552804281</v>
      </c>
      <c r="D16" s="7">
        <v>17.028408099124601</v>
      </c>
      <c r="E16" s="7">
        <v>25.162039279938309</v>
      </c>
      <c r="F16" s="7">
        <v>26.323718254291823</v>
      </c>
      <c r="G16" s="7">
        <v>17.531981530546503</v>
      </c>
      <c r="H16" s="7">
        <v>5.1976850527380343</v>
      </c>
      <c r="I16" s="7">
        <v>0.51063173163695186</v>
      </c>
      <c r="J16" s="7">
        <v>9.589135757072123</v>
      </c>
      <c r="K16" s="7">
        <v>16.053806054880887</v>
      </c>
      <c r="L16" s="7">
        <v>23.631190837494312</v>
      </c>
      <c r="M16" s="7">
        <v>25.234002636279854</v>
      </c>
      <c r="N16" s="7">
        <v>17.524723943264945</v>
      </c>
      <c r="O16" s="7">
        <v>6.5385179024194491</v>
      </c>
      <c r="P16" s="7">
        <v>1.428622868588433</v>
      </c>
      <c r="Q16" s="7">
        <v>6.2977519030369056</v>
      </c>
      <c r="R16" s="7">
        <v>5.6512320335794524</v>
      </c>
      <c r="S16" s="7">
        <v>17.80625606250895</v>
      </c>
      <c r="T16" s="7">
        <v>26.109876028773204</v>
      </c>
      <c r="U16" s="7">
        <v>28.075430290347665</v>
      </c>
      <c r="V16" s="7">
        <v>17.015320231190685</v>
      </c>
      <c r="W16" s="7">
        <v>4.6953654841426005</v>
      </c>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row>
    <row r="17" spans="1:60">
      <c r="A17" s="5" t="s">
        <v>18</v>
      </c>
      <c r="B17" s="7">
        <v>2.4353765200497852</v>
      </c>
      <c r="C17" s="7">
        <v>8.0387355472488675</v>
      </c>
      <c r="D17" s="7">
        <v>15.88178738398514</v>
      </c>
      <c r="E17" s="7">
        <v>24.609119824466617</v>
      </c>
      <c r="F17" s="7">
        <v>25.074248538329282</v>
      </c>
      <c r="G17" s="7">
        <v>16.854801880139391</v>
      </c>
      <c r="H17" s="7">
        <v>6.2447388047224939</v>
      </c>
      <c r="I17" s="7">
        <v>0.86119150105842945</v>
      </c>
      <c r="J17" s="7">
        <v>7.3575003314966203</v>
      </c>
      <c r="K17" s="7">
        <v>13.331694903532332</v>
      </c>
      <c r="L17" s="7">
        <v>21.99654797374394</v>
      </c>
      <c r="M17" s="7">
        <v>26.741875761662772</v>
      </c>
      <c r="N17" s="7">
        <v>20.186798456041956</v>
      </c>
      <c r="O17" s="7">
        <v>8.4730525211080767</v>
      </c>
      <c r="P17" s="7">
        <v>1.9125300524142976</v>
      </c>
      <c r="Q17" s="7">
        <v>6.4250219576378829</v>
      </c>
      <c r="R17" s="7">
        <v>5.9284161379977407</v>
      </c>
      <c r="S17" s="7">
        <v>18.558887233212392</v>
      </c>
      <c r="T17" s="7">
        <v>28.32161025768994</v>
      </c>
      <c r="U17" s="7">
        <v>27.698835939213041</v>
      </c>
      <c r="V17" s="7">
        <v>15.168225129306382</v>
      </c>
      <c r="W17" s="7">
        <v>3.8274194829403636</v>
      </c>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row>
    <row r="18" spans="1:60">
      <c r="A18" s="5" t="s">
        <v>19</v>
      </c>
      <c r="B18" s="7">
        <v>0.2143845818689244</v>
      </c>
      <c r="C18" s="7">
        <v>2.110986176530115</v>
      </c>
      <c r="D18" s="7">
        <v>9.4739785779131616</v>
      </c>
      <c r="E18" s="7">
        <v>21.742397165793118</v>
      </c>
      <c r="F18" s="7">
        <v>30.29082473992715</v>
      </c>
      <c r="G18" s="7">
        <v>24.07889021006693</v>
      </c>
      <c r="H18" s="7">
        <v>10.329446733279672</v>
      </c>
      <c r="I18" s="7">
        <v>1.7590918146209313</v>
      </c>
      <c r="J18" s="7">
        <v>3.8316078096485899</v>
      </c>
      <c r="K18" s="7">
        <v>11.855328148049388</v>
      </c>
      <c r="L18" s="7">
        <v>24.720942227773367</v>
      </c>
      <c r="M18" s="7">
        <v>30.529312219217775</v>
      </c>
      <c r="N18" s="7">
        <v>20.833820344582339</v>
      </c>
      <c r="O18" s="7">
        <v>7.2009437605433551</v>
      </c>
      <c r="P18" s="7">
        <v>1.0280454901851948</v>
      </c>
      <c r="Q18" s="7">
        <v>3.5914263234620738</v>
      </c>
      <c r="R18" s="7">
        <v>3.2725516819712306</v>
      </c>
      <c r="S18" s="7">
        <v>13.435051289805157</v>
      </c>
      <c r="T18" s="7">
        <v>26.873440716605444</v>
      </c>
      <c r="U18" s="7">
        <v>31.30935953017131</v>
      </c>
      <c r="V18" s="7">
        <v>18.950787793984329</v>
      </c>
      <c r="W18" s="7">
        <v>5.8399343459716917</v>
      </c>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row>
    <row r="19" spans="1:60">
      <c r="A19" s="5" t="s">
        <v>20</v>
      </c>
      <c r="B19" s="7">
        <v>5.7140947350856859</v>
      </c>
      <c r="C19" s="7">
        <v>10.372668817780033</v>
      </c>
      <c r="D19" s="7">
        <v>14.975350282567664</v>
      </c>
      <c r="E19" s="7">
        <v>19.409055542700823</v>
      </c>
      <c r="F19" s="7">
        <v>21.579245988976613</v>
      </c>
      <c r="G19" s="7">
        <v>17.54329037372192</v>
      </c>
      <c r="H19" s="7">
        <v>8.3583208570253245</v>
      </c>
      <c r="I19" s="7">
        <v>2.047973402141944</v>
      </c>
      <c r="J19" s="7">
        <v>17.727815981933485</v>
      </c>
      <c r="K19" s="7">
        <v>16.367407471088637</v>
      </c>
      <c r="L19" s="7">
        <v>20.694931325015485</v>
      </c>
      <c r="M19" s="7">
        <v>21.049428073153074</v>
      </c>
      <c r="N19" s="7">
        <v>15.353711645548238</v>
      </c>
      <c r="O19" s="7">
        <v>6.9948327286763234</v>
      </c>
      <c r="P19" s="7">
        <v>1.8118727745847694</v>
      </c>
      <c r="Q19" s="7">
        <v>13.944856142822664</v>
      </c>
      <c r="R19" s="7">
        <v>10.714434529844532</v>
      </c>
      <c r="S19" s="7">
        <v>19.155377229764447</v>
      </c>
      <c r="T19" s="7">
        <v>23.124827133824173</v>
      </c>
      <c r="U19" s="7">
        <v>22.851049000326071</v>
      </c>
      <c r="V19" s="7">
        <v>15.106155313198688</v>
      </c>
      <c r="W19" s="7">
        <v>5.817735180063961</v>
      </c>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row>
    <row r="20" spans="1:60">
      <c r="A20" s="5" t="s">
        <v>21</v>
      </c>
      <c r="B20" s="7">
        <v>1.8017257580919006</v>
      </c>
      <c r="C20" s="7">
        <v>6.6923664467171982</v>
      </c>
      <c r="D20" s="7">
        <v>14.773080337883002</v>
      </c>
      <c r="E20" s="7">
        <v>26.286986974268075</v>
      </c>
      <c r="F20" s="7">
        <v>28.213773752077874</v>
      </c>
      <c r="G20" s="7">
        <v>16.887359300280274</v>
      </c>
      <c r="H20" s="7">
        <v>4.8787786572185396</v>
      </c>
      <c r="I20" s="7">
        <v>0.46592877346314526</v>
      </c>
      <c r="J20" s="7">
        <v>9.059824405052904</v>
      </c>
      <c r="K20" s="7">
        <v>14.763471343826652</v>
      </c>
      <c r="L20" s="7">
        <v>22.913052995175988</v>
      </c>
      <c r="M20" s="7">
        <v>25.606464037272804</v>
      </c>
      <c r="N20" s="7">
        <v>18.118010926287418</v>
      </c>
      <c r="O20" s="7">
        <v>7.5270107281461325</v>
      </c>
      <c r="P20" s="7">
        <v>2.0121655642381149</v>
      </c>
      <c r="Q20" s="7">
        <v>7.6355609336210319</v>
      </c>
      <c r="R20" s="7">
        <v>6.5507241006511165</v>
      </c>
      <c r="S20" s="7">
        <v>18.243595141315691</v>
      </c>
      <c r="T20" s="7">
        <v>30.184149564894611</v>
      </c>
      <c r="U20" s="7">
        <v>27.82164995830442</v>
      </c>
      <c r="V20" s="7">
        <v>13.380794449764089</v>
      </c>
      <c r="W20" s="7">
        <v>2.7342499521001686</v>
      </c>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row>
    <row r="21" spans="1:60">
      <c r="A21" s="5" t="s">
        <v>22</v>
      </c>
      <c r="B21" s="7">
        <v>0.70696820190543719</v>
      </c>
      <c r="C21" s="7">
        <v>4.0778467447274869</v>
      </c>
      <c r="D21" s="7">
        <v>11.994356488170922</v>
      </c>
      <c r="E21" s="7">
        <v>22.498558194296521</v>
      </c>
      <c r="F21" s="7">
        <v>28.609232061618371</v>
      </c>
      <c r="G21" s="7">
        <v>21.862572412033479</v>
      </c>
      <c r="H21" s="7">
        <v>8.5968763796534624</v>
      </c>
      <c r="I21" s="7">
        <v>1.6535895175943207</v>
      </c>
      <c r="J21" s="7">
        <v>2.8580498761811102</v>
      </c>
      <c r="K21" s="7">
        <v>8.5968257325872113</v>
      </c>
      <c r="L21" s="7">
        <v>18.719959132949139</v>
      </c>
      <c r="M21" s="7">
        <v>26.411606156939641</v>
      </c>
      <c r="N21" s="7">
        <v>25.072816101392625</v>
      </c>
      <c r="O21" s="7">
        <v>14.028058935290842</v>
      </c>
      <c r="P21" s="7">
        <v>4.3126840646594315</v>
      </c>
      <c r="Q21" s="7">
        <v>1.9723686245764369</v>
      </c>
      <c r="R21" s="7">
        <v>1.8175188647391527</v>
      </c>
      <c r="S21" s="7">
        <v>8.8708645596940929</v>
      </c>
      <c r="T21" s="7">
        <v>19.899757306075905</v>
      </c>
      <c r="U21" s="7">
        <v>29.694964044820008</v>
      </c>
      <c r="V21" s="7">
        <v>26.508734450108776</v>
      </c>
      <c r="W21" s="7">
        <v>13.053311014724786</v>
      </c>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row>
    <row r="22" spans="1:60">
      <c r="A22" s="5" t="s">
        <v>23</v>
      </c>
      <c r="B22" s="7">
        <v>1.1728981790607762</v>
      </c>
      <c r="C22" s="7">
        <v>4.3120663489046311</v>
      </c>
      <c r="D22" s="7">
        <v>9.6233061934656874</v>
      </c>
      <c r="E22" s="7">
        <v>19.578622686075207</v>
      </c>
      <c r="F22" s="7">
        <v>27.634566789102589</v>
      </c>
      <c r="G22" s="7">
        <v>24.555220486177902</v>
      </c>
      <c r="H22" s="7">
        <v>10.8050792926676</v>
      </c>
      <c r="I22" s="7">
        <v>2.318240024545613</v>
      </c>
      <c r="J22" s="7">
        <v>5.3895186282903031</v>
      </c>
      <c r="K22" s="7">
        <v>9.6090081755156209</v>
      </c>
      <c r="L22" s="7">
        <v>17.327256686744455</v>
      </c>
      <c r="M22" s="7">
        <v>23.370108146513331</v>
      </c>
      <c r="N22" s="7">
        <v>22.921550377048419</v>
      </c>
      <c r="O22" s="7">
        <v>14.439338045297674</v>
      </c>
      <c r="P22" s="7">
        <v>6.9432199405901969</v>
      </c>
      <c r="Q22" s="7">
        <v>3.5440505383952479</v>
      </c>
      <c r="R22" s="7">
        <v>3.0686921175008113</v>
      </c>
      <c r="S22" s="7">
        <v>10.622877655472237</v>
      </c>
      <c r="T22" s="7">
        <v>20.972062566653843</v>
      </c>
      <c r="U22" s="7">
        <v>28.583809963722032</v>
      </c>
      <c r="V22" s="7">
        <v>24.483880608906674</v>
      </c>
      <c r="W22" s="7">
        <v>11.793318666849975</v>
      </c>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row>
    <row r="23" spans="1:60">
      <c r="A23" s="5" t="s">
        <v>24</v>
      </c>
      <c r="B23" s="7">
        <v>0.61116598085174578</v>
      </c>
      <c r="C23" s="7">
        <v>5.2187602016439243</v>
      </c>
      <c r="D23" s="7">
        <v>16.61295493008334</v>
      </c>
      <c r="E23" s="7">
        <v>27.379077823735301</v>
      </c>
      <c r="F23" s="7">
        <v>28.79370783754635</v>
      </c>
      <c r="G23" s="7">
        <v>16.565046020578404</v>
      </c>
      <c r="H23" s="7">
        <v>4.4222589573807261</v>
      </c>
      <c r="I23" s="7">
        <v>0.39702824818020188</v>
      </c>
      <c r="J23" s="7">
        <v>4.392545437304519</v>
      </c>
      <c r="K23" s="7">
        <v>12.924185587615817</v>
      </c>
      <c r="L23" s="7">
        <v>25.805563379544413</v>
      </c>
      <c r="M23" s="7">
        <v>29.371767769605153</v>
      </c>
      <c r="N23" s="7">
        <v>19.018381411929749</v>
      </c>
      <c r="O23" s="7">
        <v>7.0546612789977745</v>
      </c>
      <c r="P23" s="7">
        <v>1.4328951350025756</v>
      </c>
      <c r="Q23" s="7">
        <v>3.6667900665716777</v>
      </c>
      <c r="R23" s="7">
        <v>3.3667842959701724</v>
      </c>
      <c r="S23" s="7">
        <v>14.823495062401207</v>
      </c>
      <c r="T23" s="7">
        <v>29.496670888900827</v>
      </c>
      <c r="U23" s="7">
        <v>31.469873192130304</v>
      </c>
      <c r="V23" s="7">
        <v>16.819625401472315</v>
      </c>
      <c r="W23" s="7">
        <v>3.7235453885236667</v>
      </c>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row>
    <row r="24" spans="1:60">
      <c r="A24" s="5" t="s">
        <v>25</v>
      </c>
      <c r="B24" s="7">
        <v>1.0759359892606142</v>
      </c>
      <c r="C24" s="7">
        <v>6.3070238234416172</v>
      </c>
      <c r="D24" s="7">
        <v>16.980335957860007</v>
      </c>
      <c r="E24" s="7">
        <v>26.107670713764591</v>
      </c>
      <c r="F24" s="7">
        <v>27.695604157147297</v>
      </c>
      <c r="G24" s="7">
        <v>16.851928769534315</v>
      </c>
      <c r="H24" s="7">
        <v>4.5317084543982267</v>
      </c>
      <c r="I24" s="7">
        <v>0.44979213459334116</v>
      </c>
      <c r="J24" s="7">
        <v>9.2757727495821829</v>
      </c>
      <c r="K24" s="7">
        <v>16.360667077594098</v>
      </c>
      <c r="L24" s="7">
        <v>24.185829160760601</v>
      </c>
      <c r="M24" s="7">
        <v>25.201090108420743</v>
      </c>
      <c r="N24" s="7">
        <v>16.544513836035193</v>
      </c>
      <c r="O24" s="7">
        <v>6.7519422295743725</v>
      </c>
      <c r="P24" s="7">
        <v>1.6801848380328008</v>
      </c>
      <c r="Q24" s="7">
        <v>5.2079926984261462</v>
      </c>
      <c r="R24" s="7">
        <v>4.7297049643472624</v>
      </c>
      <c r="S24" s="7">
        <v>16.97664049306335</v>
      </c>
      <c r="T24" s="7">
        <v>28.362759749008639</v>
      </c>
      <c r="U24" s="7">
        <v>28.741846285933299</v>
      </c>
      <c r="V24" s="7">
        <v>16.270415382745384</v>
      </c>
      <c r="W24" s="7">
        <v>4.4403453908231914</v>
      </c>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row>
    <row r="25" spans="1:60">
      <c r="A25" s="5" t="s">
        <v>26</v>
      </c>
      <c r="B25" s="7">
        <v>2.5046970744822237</v>
      </c>
      <c r="C25" s="7">
        <v>9.1562031174146323</v>
      </c>
      <c r="D25" s="7">
        <v>17.630515078056195</v>
      </c>
      <c r="E25" s="7">
        <v>23.691511048700757</v>
      </c>
      <c r="F25" s="7">
        <v>23.463039224673533</v>
      </c>
      <c r="G25" s="7">
        <v>15.947723211204485</v>
      </c>
      <c r="H25" s="7">
        <v>6.355315565057281</v>
      </c>
      <c r="I25" s="7">
        <v>1.2509956804109001</v>
      </c>
      <c r="J25" s="7">
        <v>10.860587937071292</v>
      </c>
      <c r="K25" s="7">
        <v>16.357006820925253</v>
      </c>
      <c r="L25" s="7">
        <v>21.692081169160836</v>
      </c>
      <c r="M25" s="7">
        <v>22.608536117598987</v>
      </c>
      <c r="N25" s="7">
        <v>17.669795416090356</v>
      </c>
      <c r="O25" s="7">
        <v>8.5564341188661786</v>
      </c>
      <c r="P25" s="7">
        <v>2.2555584202871013</v>
      </c>
      <c r="Q25" s="7">
        <v>7.6012293544618146</v>
      </c>
      <c r="R25" s="7">
        <v>6.781843369078655</v>
      </c>
      <c r="S25" s="7">
        <v>19.164406658538628</v>
      </c>
      <c r="T25" s="7">
        <v>25.67959164061444</v>
      </c>
      <c r="U25" s="7">
        <v>25.554785219696047</v>
      </c>
      <c r="V25" s="7">
        <v>16.55104116909116</v>
      </c>
      <c r="W25" s="7">
        <v>5.4489459575979176</v>
      </c>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row>
    <row r="26" spans="1:60">
      <c r="A26" s="5" t="s">
        <v>27</v>
      </c>
      <c r="B26" s="7">
        <v>2.5408469289769005</v>
      </c>
      <c r="C26" s="7">
        <v>13.09892738728484</v>
      </c>
      <c r="D26" s="7">
        <v>29.054227288018019</v>
      </c>
      <c r="E26" s="7">
        <v>31.735157479180558</v>
      </c>
      <c r="F26" s="7">
        <v>17.458553696076091</v>
      </c>
      <c r="G26" s="7">
        <v>5.3388231014863949</v>
      </c>
      <c r="H26" s="7">
        <v>0.7470959566990879</v>
      </c>
      <c r="I26" s="7">
        <v>2.6368162278113384E-2</v>
      </c>
      <c r="J26" s="7">
        <v>25.961694764345367</v>
      </c>
      <c r="K26" s="7">
        <v>30.284749231379084</v>
      </c>
      <c r="L26" s="7">
        <v>26.412415120854195</v>
      </c>
      <c r="M26" s="7">
        <v>13.11919692107455</v>
      </c>
      <c r="N26" s="7">
        <v>3.7142062314896815</v>
      </c>
      <c r="O26" s="7">
        <v>0.46894268563947306</v>
      </c>
      <c r="P26" s="7">
        <v>3.8795045217653805E-2</v>
      </c>
      <c r="Q26" s="7">
        <v>12.62701230803124</v>
      </c>
      <c r="R26" s="7">
        <v>11.605914322968843</v>
      </c>
      <c r="S26" s="7">
        <v>34.180679192692672</v>
      </c>
      <c r="T26" s="7">
        <v>33.949592410401699</v>
      </c>
      <c r="U26" s="7">
        <v>15.453605078292568</v>
      </c>
      <c r="V26" s="7">
        <v>3.5363235157625619</v>
      </c>
      <c r="W26" s="7">
        <v>0.2527874948192666</v>
      </c>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row>
    <row r="27" spans="1:60">
      <c r="A27" s="5" t="s">
        <v>110</v>
      </c>
      <c r="B27" s="7">
        <v>1.4662361648818785</v>
      </c>
      <c r="C27" s="7">
        <v>6.9809264422519988</v>
      </c>
      <c r="D27" s="7">
        <v>15.639443520878988</v>
      </c>
      <c r="E27" s="7">
        <v>23.747948787873938</v>
      </c>
      <c r="F27" s="7">
        <v>24.286359701601484</v>
      </c>
      <c r="G27" s="7">
        <v>18.796967243308622</v>
      </c>
      <c r="H27" s="7">
        <v>7.8944487044171883</v>
      </c>
      <c r="I27" s="7">
        <v>1.1876694347858976</v>
      </c>
      <c r="J27" s="7">
        <v>4.5183228952835677</v>
      </c>
      <c r="K27" s="7">
        <v>11.232307936115911</v>
      </c>
      <c r="L27" s="7">
        <v>19.027088360893064</v>
      </c>
      <c r="M27" s="7">
        <v>23.217450038724593</v>
      </c>
      <c r="N27" s="7">
        <v>23.584235126598305</v>
      </c>
      <c r="O27" s="7">
        <v>14.153676023120916</v>
      </c>
      <c r="P27" s="7">
        <v>4.2669196192636525</v>
      </c>
      <c r="Q27" s="7">
        <v>5.6623596747333771</v>
      </c>
      <c r="R27" s="7">
        <v>4.76479199625535</v>
      </c>
      <c r="S27" s="7">
        <v>14.376084710181665</v>
      </c>
      <c r="T27" s="7">
        <v>22.43734505614167</v>
      </c>
      <c r="U27" s="7">
        <v>24.859774915069991</v>
      </c>
      <c r="V27" s="7">
        <v>22.054480535227626</v>
      </c>
      <c r="W27" s="7">
        <v>10.609955108645675</v>
      </c>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row>
    <row r="28" spans="1:60">
      <c r="A28" s="5" t="s">
        <v>29</v>
      </c>
      <c r="B28" s="7">
        <v>1.0805840231695587</v>
      </c>
      <c r="C28" s="7">
        <v>5.2235116863346551</v>
      </c>
      <c r="D28" s="7">
        <v>12.659464587644472</v>
      </c>
      <c r="E28" s="7">
        <v>20.794753859280704</v>
      </c>
      <c r="F28" s="7">
        <v>24.636255224193654</v>
      </c>
      <c r="G28" s="7">
        <v>22.501637270492665</v>
      </c>
      <c r="H28" s="7">
        <v>10.749929453040926</v>
      </c>
      <c r="I28" s="7">
        <v>2.3538638958433769</v>
      </c>
      <c r="J28" s="7">
        <v>7.5725712992874934</v>
      </c>
      <c r="K28" s="7">
        <v>14.206271514921568</v>
      </c>
      <c r="L28" s="7">
        <v>22.760259644658717</v>
      </c>
      <c r="M28" s="7">
        <v>25.02712208440223</v>
      </c>
      <c r="N28" s="7">
        <v>18.882773516890861</v>
      </c>
      <c r="O28" s="7">
        <v>8.8466068980382069</v>
      </c>
      <c r="P28" s="7">
        <v>2.7043950418009288</v>
      </c>
      <c r="Q28" s="7">
        <v>4.9231589560203775</v>
      </c>
      <c r="R28" s="7">
        <v>4.3122380102422078</v>
      </c>
      <c r="S28" s="7">
        <v>13.118637862860044</v>
      </c>
      <c r="T28" s="7">
        <v>21.968577116441672</v>
      </c>
      <c r="U28" s="7">
        <v>26.830016030254399</v>
      </c>
      <c r="V28" s="7">
        <v>21.848177621364105</v>
      </c>
      <c r="W28" s="7">
        <v>11.311432413059404</v>
      </c>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row>
    <row r="29" spans="1:60">
      <c r="A29" s="5" t="s">
        <v>30</v>
      </c>
      <c r="B29" s="7">
        <v>1.7707516731981663</v>
      </c>
      <c r="C29" s="7">
        <v>5.634922683019421</v>
      </c>
      <c r="D29" s="7">
        <v>11.887306181975838</v>
      </c>
      <c r="E29" s="7">
        <v>21.466295221088611</v>
      </c>
      <c r="F29" s="7">
        <v>26.378961944799489</v>
      </c>
      <c r="G29" s="7">
        <v>21.572065069317766</v>
      </c>
      <c r="H29" s="7">
        <v>9.6422642228865953</v>
      </c>
      <c r="I29" s="7">
        <v>1.6474330037141198</v>
      </c>
      <c r="J29" s="7">
        <v>6.493335519401942</v>
      </c>
      <c r="K29" s="7">
        <v>12.37259426035031</v>
      </c>
      <c r="L29" s="7">
        <v>21.82147257274292</v>
      </c>
      <c r="M29" s="7">
        <v>26.495075850016544</v>
      </c>
      <c r="N29" s="7">
        <v>20.63420834937223</v>
      </c>
      <c r="O29" s="7">
        <v>9.827679142270112</v>
      </c>
      <c r="P29" s="7">
        <v>2.3556343058459506</v>
      </c>
      <c r="Q29" s="7">
        <v>6.7432221823037226</v>
      </c>
      <c r="R29" s="7">
        <v>5.6853313721473633</v>
      </c>
      <c r="S29" s="7">
        <v>14.102113131300605</v>
      </c>
      <c r="T29" s="7">
        <v>25.045245808305786</v>
      </c>
      <c r="U29" s="7">
        <v>28.58124686160216</v>
      </c>
      <c r="V29" s="7">
        <v>18.739139650700675</v>
      </c>
      <c r="W29" s="7">
        <v>6.7890323657870519</v>
      </c>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row>
    <row r="30" spans="1:60">
      <c r="A30" s="5" t="s">
        <v>31</v>
      </c>
      <c r="B30" s="7">
        <v>0.56825216229001996</v>
      </c>
      <c r="C30" s="7">
        <v>3.3241125864924421</v>
      </c>
      <c r="D30" s="7">
        <v>10.783241919793799</v>
      </c>
      <c r="E30" s="7">
        <v>22.408296030138516</v>
      </c>
      <c r="F30" s="7">
        <v>27.688290754708831</v>
      </c>
      <c r="G30" s="7">
        <v>23.035427657266734</v>
      </c>
      <c r="H30" s="7">
        <v>10.083500979432422</v>
      </c>
      <c r="I30" s="7">
        <v>2.1088779098772461</v>
      </c>
      <c r="J30" s="7">
        <v>4.2099757665741331</v>
      </c>
      <c r="K30" s="7">
        <v>10.50969550488891</v>
      </c>
      <c r="L30" s="7">
        <v>20.652894698286641</v>
      </c>
      <c r="M30" s="7">
        <v>26.543983105385564</v>
      </c>
      <c r="N30" s="7">
        <v>22.299819292361338</v>
      </c>
      <c r="O30" s="7">
        <v>11.70228480323768</v>
      </c>
      <c r="P30" s="7">
        <v>4.0813468292657431</v>
      </c>
      <c r="Q30" s="7">
        <v>2.7129679240807372</v>
      </c>
      <c r="R30" s="7">
        <v>2.5042396163104992</v>
      </c>
      <c r="S30" s="7">
        <v>11.129303704511887</v>
      </c>
      <c r="T30" s="7">
        <v>24.915375384537498</v>
      </c>
      <c r="U30" s="7">
        <v>29.987283339327099</v>
      </c>
      <c r="V30" s="7">
        <v>21.975275438742297</v>
      </c>
      <c r="W30" s="7">
        <v>9.2797942088005048</v>
      </c>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row>
    <row r="31" spans="1:60">
      <c r="A31" s="5" t="s">
        <v>111</v>
      </c>
      <c r="B31" s="7">
        <v>0.91337472673973386</v>
      </c>
      <c r="C31" s="7">
        <v>4.978827785387387</v>
      </c>
      <c r="D31" s="7">
        <v>14.329668229749203</v>
      </c>
      <c r="E31" s="7">
        <v>23.332379072063194</v>
      </c>
      <c r="F31" s="7">
        <v>28.178549629928064</v>
      </c>
      <c r="G31" s="7">
        <v>20.974547223715632</v>
      </c>
      <c r="H31" s="7">
        <v>6.4913367342191721</v>
      </c>
      <c r="I31" s="7">
        <v>0.80131659819762069</v>
      </c>
      <c r="J31" s="7">
        <v>9.2864991395993695</v>
      </c>
      <c r="K31" s="7">
        <v>13.994621573460558</v>
      </c>
      <c r="L31" s="7">
        <v>20.897271573636541</v>
      </c>
      <c r="M31" s="7">
        <v>24.485855446782121</v>
      </c>
      <c r="N31" s="7">
        <v>19.727060117010545</v>
      </c>
      <c r="O31" s="7">
        <v>9.1441134595134201</v>
      </c>
      <c r="P31" s="7">
        <v>2.4645786899974578</v>
      </c>
      <c r="Q31" s="7">
        <v>4.8181599052227968</v>
      </c>
      <c r="R31" s="7">
        <v>4.3698281196197017</v>
      </c>
      <c r="S31" s="7">
        <v>14.742638207983971</v>
      </c>
      <c r="T31" s="7">
        <v>26.242320788410709</v>
      </c>
      <c r="U31" s="7">
        <v>29.387600067829631</v>
      </c>
      <c r="V31" s="7">
        <v>19.184718270633205</v>
      </c>
      <c r="W31" s="7">
        <v>5.6245627599197006</v>
      </c>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row>
    <row r="32" spans="1:60">
      <c r="A32" s="5" t="s">
        <v>33</v>
      </c>
      <c r="B32" s="7">
        <v>2.390174644631498</v>
      </c>
      <c r="C32" s="7">
        <v>9.2238382595245927</v>
      </c>
      <c r="D32" s="7">
        <v>19.796011852529823</v>
      </c>
      <c r="E32" s="7">
        <v>26.851724884815816</v>
      </c>
      <c r="F32" s="7">
        <v>23.531531060779095</v>
      </c>
      <c r="G32" s="7">
        <v>13.571965258835149</v>
      </c>
      <c r="H32" s="7">
        <v>4.1450139688220853</v>
      </c>
      <c r="I32" s="7">
        <v>0.48974007006194964</v>
      </c>
      <c r="J32" s="7">
        <v>10.732238653115829</v>
      </c>
      <c r="K32" s="7">
        <v>14.35617420774615</v>
      </c>
      <c r="L32" s="7">
        <v>21.351830328408589</v>
      </c>
      <c r="M32" s="7">
        <v>24.235832772135211</v>
      </c>
      <c r="N32" s="7">
        <v>18.573926771716643</v>
      </c>
      <c r="O32" s="7">
        <v>8.4041362534379527</v>
      </c>
      <c r="P32" s="7">
        <v>2.3458610134396318</v>
      </c>
      <c r="Q32" s="7">
        <v>9.3567357946119785</v>
      </c>
      <c r="R32" s="7">
        <v>7.9181403922407956</v>
      </c>
      <c r="S32" s="7">
        <v>19.944982939102406</v>
      </c>
      <c r="T32" s="7">
        <v>28.529840829434143</v>
      </c>
      <c r="U32" s="7">
        <v>25.262261975880559</v>
      </c>
      <c r="V32" s="7">
        <v>13.19909566022123</v>
      </c>
      <c r="W32" s="7">
        <v>3.7070828007496814</v>
      </c>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row>
    <row r="33" spans="1:60">
      <c r="A33" s="5" t="s">
        <v>34</v>
      </c>
      <c r="B33" s="7">
        <v>0.68973212792351879</v>
      </c>
      <c r="C33" s="7">
        <v>4.250369385551334</v>
      </c>
      <c r="D33" s="7">
        <v>12.940889686679633</v>
      </c>
      <c r="E33" s="7">
        <v>24.524054919033286</v>
      </c>
      <c r="F33" s="7">
        <v>29.535148852582509</v>
      </c>
      <c r="G33" s="7">
        <v>20.306574186357878</v>
      </c>
      <c r="H33" s="7">
        <v>6.7777795059368904</v>
      </c>
      <c r="I33" s="7">
        <v>0.97545133593496125</v>
      </c>
      <c r="J33" s="7">
        <v>4.7735911118493304</v>
      </c>
      <c r="K33" s="7">
        <v>11.660214586926056</v>
      </c>
      <c r="L33" s="7">
        <v>21.597323494268913</v>
      </c>
      <c r="M33" s="7">
        <v>26.384674813135366</v>
      </c>
      <c r="N33" s="7">
        <v>21.981307496023675</v>
      </c>
      <c r="O33" s="7">
        <v>10.502120493056806</v>
      </c>
      <c r="P33" s="7">
        <v>3.1007680047398538</v>
      </c>
      <c r="Q33" s="7">
        <v>2.6683411711657516</v>
      </c>
      <c r="R33" s="7">
        <v>2.4722068203347027</v>
      </c>
      <c r="S33" s="7">
        <v>11.887166719069427</v>
      </c>
      <c r="T33" s="7">
        <v>24.594323109086872</v>
      </c>
      <c r="U33" s="7">
        <v>31.752644947306283</v>
      </c>
      <c r="V33" s="7">
        <v>21.758711958626584</v>
      </c>
      <c r="W33" s="7">
        <v>7.3388120947450775</v>
      </c>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row>
    <row r="34" spans="1:60">
      <c r="A34" s="5" t="s">
        <v>36</v>
      </c>
      <c r="B34" s="7">
        <v>1.6155018170960767</v>
      </c>
      <c r="C34" s="7">
        <v>5.1405628776530543</v>
      </c>
      <c r="D34" s="7">
        <v>11.636978766858268</v>
      </c>
      <c r="E34" s="7">
        <v>20.605968513179146</v>
      </c>
      <c r="F34" s="7">
        <v>25.472849610301054</v>
      </c>
      <c r="G34" s="7">
        <v>22.254770841551686</v>
      </c>
      <c r="H34" s="7">
        <v>10.884074137355059</v>
      </c>
      <c r="I34" s="7">
        <v>2.3892934360056612</v>
      </c>
      <c r="J34" s="7">
        <v>8.7006371620318621</v>
      </c>
      <c r="K34" s="7">
        <v>15.994833735475559</v>
      </c>
      <c r="L34" s="7">
        <v>24.446929890164142</v>
      </c>
      <c r="M34" s="7">
        <v>26.03256481134941</v>
      </c>
      <c r="N34" s="7">
        <v>17.544927418984823</v>
      </c>
      <c r="O34" s="7">
        <v>6.1812509969553258</v>
      </c>
      <c r="P34" s="7">
        <v>1.0988559850388804</v>
      </c>
      <c r="Q34" s="7">
        <v>5.0771262153165644</v>
      </c>
      <c r="R34" s="7">
        <v>4.5258786679671728</v>
      </c>
      <c r="S34" s="7">
        <v>16.197617279555406</v>
      </c>
      <c r="T34" s="7">
        <v>28.369465518809815</v>
      </c>
      <c r="U34" s="7">
        <v>29.401594606922995</v>
      </c>
      <c r="V34" s="7">
        <v>16.769962658680868</v>
      </c>
      <c r="W34" s="7">
        <v>4.1842337207143609</v>
      </c>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row>
    <row r="35" spans="1:60">
      <c r="A35" s="5" t="s">
        <v>37</v>
      </c>
      <c r="B35" s="7">
        <v>1.4077441047334895</v>
      </c>
      <c r="C35" s="7">
        <v>7.1230009056110992</v>
      </c>
      <c r="D35" s="7">
        <v>15.103313534899492</v>
      </c>
      <c r="E35" s="7">
        <v>23.420626382217073</v>
      </c>
      <c r="F35" s="7">
        <v>26.334764315882083</v>
      </c>
      <c r="G35" s="7">
        <v>18.510936983873979</v>
      </c>
      <c r="H35" s="7">
        <v>6.9457578213729851</v>
      </c>
      <c r="I35" s="7">
        <v>1.1538559514097961</v>
      </c>
      <c r="J35" s="7">
        <v>5.9770986988177457</v>
      </c>
      <c r="K35" s="7">
        <v>12.830845107923961</v>
      </c>
      <c r="L35" s="7">
        <v>21.859552726439354</v>
      </c>
      <c r="M35" s="7">
        <v>25.701164279810531</v>
      </c>
      <c r="N35" s="7">
        <v>21.035437096390684</v>
      </c>
      <c r="O35" s="7">
        <v>9.9816079732370824</v>
      </c>
      <c r="P35" s="7">
        <v>2.6142941173806444</v>
      </c>
      <c r="Q35" s="7">
        <v>5.1840413185768073</v>
      </c>
      <c r="R35" s="7">
        <v>4.5614878930143838</v>
      </c>
      <c r="S35" s="7">
        <v>13.823398335630657</v>
      </c>
      <c r="T35" s="7">
        <v>23.990790905082164</v>
      </c>
      <c r="U35" s="7">
        <v>27.950422488691739</v>
      </c>
      <c r="V35" s="7">
        <v>20.749085811343889</v>
      </c>
      <c r="W35" s="7">
        <v>8.3022611406747409</v>
      </c>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row>
    <row r="36" spans="1:60">
      <c r="A36" s="5" t="s">
        <v>38</v>
      </c>
      <c r="B36" s="7">
        <v>0.70265954193044489</v>
      </c>
      <c r="C36" s="7">
        <v>6.3454730684674798</v>
      </c>
      <c r="D36" s="7">
        <v>19.084119523045704</v>
      </c>
      <c r="E36" s="7">
        <v>30.174288688507012</v>
      </c>
      <c r="F36" s="7">
        <v>26.877445483122148</v>
      </c>
      <c r="G36" s="7">
        <v>13.488856818003734</v>
      </c>
      <c r="H36" s="7">
        <v>3.1265762027875503</v>
      </c>
      <c r="I36" s="7">
        <v>0.20058067413593028</v>
      </c>
      <c r="J36" s="7">
        <v>4.7789245627225396</v>
      </c>
      <c r="K36" s="7">
        <v>12.049098207661988</v>
      </c>
      <c r="L36" s="7">
        <v>19.537378926522514</v>
      </c>
      <c r="M36" s="7">
        <v>24.387625155968468</v>
      </c>
      <c r="N36" s="7">
        <v>22.288404381059991</v>
      </c>
      <c r="O36" s="7">
        <v>12.07812196219068</v>
      </c>
      <c r="P36" s="7">
        <v>4.8804468038738271</v>
      </c>
      <c r="Q36" s="7">
        <v>5.0065497050978855</v>
      </c>
      <c r="R36" s="7">
        <v>4.5838712411501037</v>
      </c>
      <c r="S36" s="7">
        <v>15.218466002002396</v>
      </c>
      <c r="T36" s="7">
        <v>24.923101788770225</v>
      </c>
      <c r="U36" s="7">
        <v>27.772965468500992</v>
      </c>
      <c r="V36" s="7">
        <v>19.273592503967862</v>
      </c>
      <c r="W36" s="7">
        <v>7.8053245316606379</v>
      </c>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row>
    <row r="37" spans="1:60">
      <c r="A37" s="5" t="s">
        <v>39</v>
      </c>
      <c r="B37" s="7">
        <v>0.84501955901097137</v>
      </c>
      <c r="C37" s="7">
        <v>4.1727486454978804</v>
      </c>
      <c r="D37" s="7">
        <v>12.2853274553094</v>
      </c>
      <c r="E37" s="7">
        <v>22.981228003679639</v>
      </c>
      <c r="F37" s="7">
        <v>27.219269343599294</v>
      </c>
      <c r="G37" s="7">
        <v>21.045051633375479</v>
      </c>
      <c r="H37" s="7">
        <v>9.4512828660064105</v>
      </c>
      <c r="I37" s="7">
        <v>2.0000724935209271</v>
      </c>
      <c r="J37" s="7">
        <v>13.796246236119416</v>
      </c>
      <c r="K37" s="7">
        <v>22.86297426996185</v>
      </c>
      <c r="L37" s="7">
        <v>27.306647981405618</v>
      </c>
      <c r="M37" s="7">
        <v>20.366240142226633</v>
      </c>
      <c r="N37" s="7">
        <v>10.902103089850417</v>
      </c>
      <c r="O37" s="7">
        <v>3.8777539368512763</v>
      </c>
      <c r="P37" s="7">
        <v>0.88803434358479461</v>
      </c>
      <c r="Q37" s="7">
        <v>5.0290683070974413</v>
      </c>
      <c r="R37" s="7">
        <v>4.6946089709794929</v>
      </c>
      <c r="S37" s="7">
        <v>20.123016079869529</v>
      </c>
      <c r="T37" s="7">
        <v>32.772960984668593</v>
      </c>
      <c r="U37" s="7">
        <v>27.284808959955342</v>
      </c>
      <c r="V37" s="7">
        <v>12.329328094670103</v>
      </c>
      <c r="W37" s="7">
        <v>2.4608175737390017</v>
      </c>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row>
    <row r="38" spans="1:60">
      <c r="A38" s="5" t="s">
        <v>112</v>
      </c>
      <c r="B38" s="7">
        <v>1.1443121375034917</v>
      </c>
      <c r="C38" s="7">
        <v>5.3736240231190191</v>
      </c>
      <c r="D38" s="7">
        <v>12.747906492643621</v>
      </c>
      <c r="E38" s="7">
        <v>21.090380656094318</v>
      </c>
      <c r="F38" s="7">
        <v>24.657379758777335</v>
      </c>
      <c r="G38" s="7">
        <v>21.446027005525359</v>
      </c>
      <c r="H38" s="7">
        <v>10.709323702639804</v>
      </c>
      <c r="I38" s="7">
        <v>2.8310462236970593</v>
      </c>
      <c r="J38" s="7">
        <v>6.4113800898106241</v>
      </c>
      <c r="K38" s="7">
        <v>12.817977351431049</v>
      </c>
      <c r="L38" s="7">
        <v>22.024264115914015</v>
      </c>
      <c r="M38" s="7">
        <v>25.456585354162872</v>
      </c>
      <c r="N38" s="7">
        <v>20.427418325251075</v>
      </c>
      <c r="O38" s="7">
        <v>9.7514143845336765</v>
      </c>
      <c r="P38" s="7">
        <v>3.1109603788966917</v>
      </c>
      <c r="Q38" s="7">
        <v>4.5168023710825036</v>
      </c>
      <c r="R38" s="7">
        <v>3.8743230715093713</v>
      </c>
      <c r="S38" s="7">
        <v>12.918324794730033</v>
      </c>
      <c r="T38" s="7">
        <v>24.000195000137101</v>
      </c>
      <c r="U38" s="7">
        <v>28.10074970029606</v>
      </c>
      <c r="V38" s="7">
        <v>20.784623843452469</v>
      </c>
      <c r="W38" s="7">
        <v>9.6793042903018289</v>
      </c>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row>
    <row r="39" spans="1:60">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row>
    <row r="40" spans="1:60">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row>
    <row r="41" spans="1:60">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row>
    <row r="42" spans="1:60">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row>
    <row r="43" spans="1:60">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row>
    <row r="44" spans="1:60">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row>
    <row r="45" spans="1:60">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row>
    <row r="46" spans="1:60">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row>
    <row r="47" spans="1:60">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row>
    <row r="48" spans="1:60">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row>
    <row r="49" spans="1:60">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row>
    <row r="50" spans="1:60">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row>
    <row r="51" spans="1:60">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row>
    <row r="52" spans="1:60">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row>
    <row r="53" spans="1:60">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row>
    <row r="54" spans="1:60">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row>
    <row r="55" spans="1:60">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row>
    <row r="56" spans="1:60">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row>
    <row r="57" spans="1:60">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row>
    <row r="58" spans="1:60">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row>
    <row r="59" spans="1:60">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row>
    <row r="60" spans="1:60">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row>
    <row r="61" spans="1:60">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row>
    <row r="62" spans="1:60">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row>
    <row r="63" spans="1:60">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row>
    <row r="64" spans="1:60">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row>
    <row r="65" spans="1:60">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row>
    <row r="66" spans="1:60">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row>
    <row r="67" spans="1:60">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row>
    <row r="68" spans="1:60">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row>
    <row r="69" spans="1:60">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row>
    <row r="70" spans="1:60">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row>
    <row r="71" spans="1:60">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row>
    <row r="72" spans="1:60">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row>
    <row r="73" spans="1:60">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row>
    <row r="74" spans="1:60">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row>
    <row r="75" spans="1:60">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row>
    <row r="76" spans="1:60">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row>
    <row r="77" spans="1:60">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row>
    <row r="78" spans="1:60">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row>
    <row r="79" spans="1:60">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row>
    <row r="80" spans="1:60">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row>
    <row r="81" spans="1:60">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row>
    <row r="82" spans="1:60">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row>
    <row r="83" spans="1:60">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row>
    <row r="84" spans="1:60">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row>
    <row r="85" spans="1:60">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row>
    <row r="86" spans="1:60">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row>
    <row r="87" spans="1:60">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row>
    <row r="88" spans="1:60">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row>
    <row r="89" spans="1:60">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row>
    <row r="90" spans="1:60">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row>
    <row r="91" spans="1:60">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row>
    <row r="92" spans="1:60">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row>
    <row r="93" spans="1:60">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row>
    <row r="94" spans="1:60">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row>
    <row r="95" spans="1:60">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row>
    <row r="96" spans="1:60">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row>
    <row r="97" spans="1:60">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row>
    <row r="98" spans="1:60">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row>
    <row r="99" spans="1:60">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row>
    <row r="100" spans="1:60">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row>
    <row r="101" spans="1:60">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row>
    <row r="102" spans="1:60">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row>
    <row r="103" spans="1:60">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row>
    <row r="104" spans="1:60">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row>
    <row r="105" spans="1:60">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row>
    <row r="106" spans="1:60">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row>
    <row r="107" spans="1:60">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row>
    <row r="108" spans="1:60">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row>
    <row r="109" spans="1:60">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row>
    <row r="110" spans="1:60">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row>
    <row r="111" spans="1:60">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row>
    <row r="112" spans="1:60">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row>
    <row r="113" spans="1:60">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row>
    <row r="114" spans="1:60">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row>
    <row r="115" spans="1:60">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row>
    <row r="116" spans="1:60">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row>
    <row r="117" spans="1:60">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row>
    <row r="118" spans="1:60">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row>
    <row r="119" spans="1:60">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row>
    <row r="120" spans="1:60">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row>
    <row r="121" spans="1:60">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row>
    <row r="122" spans="1:60">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row>
    <row r="123" spans="1:60">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row>
    <row r="124" spans="1:60">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row>
    <row r="125" spans="1:60">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row>
    <row r="126" spans="1:60">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row>
    <row r="127" spans="1:60">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row>
    <row r="128" spans="1:60">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row>
    <row r="129" spans="1:60">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row>
    <row r="130" spans="1:60">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row>
    <row r="131" spans="1:60">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row>
    <row r="132" spans="1:60">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row>
    <row r="133" spans="1:60">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row>
    <row r="134" spans="1:60">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row>
    <row r="135" spans="1:60">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row>
    <row r="136" spans="1:60">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row>
    <row r="137" spans="1:60">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row>
    <row r="138" spans="1:60">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row>
    <row r="139" spans="1:60">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row>
    <row r="140" spans="1:60">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row>
    <row r="141" spans="1:60">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row>
    <row r="142" spans="1:60">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row>
    <row r="143" spans="1:60">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row>
    <row r="144" spans="1:60">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row>
    <row r="145" spans="1:60">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row>
    <row r="146" spans="1:60">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row>
    <row r="147" spans="1:60">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row>
    <row r="148" spans="1:60">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row>
    <row r="149" spans="1:60">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row>
    <row r="150" spans="1:60">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row>
    <row r="151" spans="1:60">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row>
    <row r="152" spans="1:60">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row>
    <row r="153" spans="1:60">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row>
    <row r="154" spans="1:60">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row>
    <row r="155" spans="1:60">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row>
    <row r="156" spans="1:60">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row>
    <row r="157" spans="1:60">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row>
    <row r="158" spans="1:60">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row>
    <row r="159" spans="1:60">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row>
    <row r="160" spans="1:60">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row>
    <row r="161" spans="1:60">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row>
    <row r="162" spans="1:60">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row>
    <row r="163" spans="1:60">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row>
    <row r="164" spans="1:60">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row>
    <row r="165" spans="1:60">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row>
    <row r="166" spans="1:60">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row>
    <row r="167" spans="1:60">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row>
    <row r="168" spans="1:60">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row>
    <row r="169" spans="1:60">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row>
    <row r="170" spans="1:60">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row>
    <row r="171" spans="1:60">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row>
    <row r="172" spans="1:60">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row>
    <row r="173" spans="1:60">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row>
    <row r="174" spans="1:60">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row>
    <row r="175" spans="1:60">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row>
    <row r="176" spans="1:60">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row>
    <row r="177" spans="1:60">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row>
    <row r="178" spans="1:60">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row>
    <row r="179" spans="1:60">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row>
    <row r="180" spans="1:60">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row>
    <row r="181" spans="1:60">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row>
    <row r="182" spans="1:60">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row>
    <row r="183" spans="1:60">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row>
    <row r="184" spans="1:60">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row>
    <row r="185" spans="1:60">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row>
    <row r="186" spans="1:60">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row>
    <row r="187" spans="1:60">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row>
    <row r="188" spans="1:60">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row>
    <row r="189" spans="1:60">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row>
    <row r="190" spans="1:60">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row>
    <row r="191" spans="1:60">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row>
    <row r="192" spans="1:60">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row>
    <row r="193" spans="1:60">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row>
    <row r="194" spans="1:60">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row>
    <row r="195" spans="1:60">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row>
    <row r="196" spans="1:60">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row>
    <row r="197" spans="1:60">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row>
    <row r="198" spans="1:60">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row>
    <row r="199" spans="1:60">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row>
    <row r="200" spans="1:60">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row>
    <row r="201" spans="1:60">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row>
    <row r="202" spans="1:60">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row>
    <row r="203" spans="1:60">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row>
    <row r="204" spans="1:60">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row>
    <row r="205" spans="1:60">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row>
    <row r="206" spans="1:60">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row>
    <row r="207" spans="1:60">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row>
    <row r="208" spans="1:60">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row>
    <row r="209" spans="1:60">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row>
    <row r="210" spans="1:60">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row>
    <row r="211" spans="1:60">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row>
    <row r="212" spans="1:60">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row>
    <row r="213" spans="1:60">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row>
    <row r="214" spans="1:60">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row>
    <row r="215" spans="1:60">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row>
    <row r="216" spans="1:60">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row>
    <row r="217" spans="1:60">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row>
    <row r="218" spans="1:60">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row>
    <row r="219" spans="1:60">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row>
    <row r="220" spans="1:60">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row>
    <row r="221" spans="1:60">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row>
    <row r="222" spans="1:60">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row>
    <row r="223" spans="1:60">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row>
    <row r="224" spans="1:60">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row>
    <row r="225" spans="1:60">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row>
    <row r="226" spans="1:60">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row>
    <row r="227" spans="1:60">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row>
    <row r="228" spans="1:60">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row>
    <row r="229" spans="1:60">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row>
    <row r="230" spans="1:60">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row>
    <row r="231" spans="1:60">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row>
    <row r="232" spans="1:60">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c r="AX232" s="2"/>
      <c r="AY232" s="2"/>
      <c r="AZ232" s="2"/>
      <c r="BA232" s="2"/>
      <c r="BB232" s="2"/>
      <c r="BC232" s="2"/>
      <c r="BD232" s="2"/>
      <c r="BE232" s="2"/>
      <c r="BF232" s="2"/>
      <c r="BG232" s="2"/>
      <c r="BH232" s="2"/>
    </row>
    <row r="233" spans="1:60">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c r="AX233" s="2"/>
      <c r="AY233" s="2"/>
      <c r="AZ233" s="2"/>
      <c r="BA233" s="2"/>
      <c r="BB233" s="2"/>
      <c r="BC233" s="2"/>
      <c r="BD233" s="2"/>
      <c r="BE233" s="2"/>
      <c r="BF233" s="2"/>
      <c r="BG233" s="2"/>
      <c r="BH233" s="2"/>
    </row>
    <row r="234" spans="1:60">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c r="AX234" s="2"/>
      <c r="AY234" s="2"/>
      <c r="AZ234" s="2"/>
      <c r="BA234" s="2"/>
      <c r="BB234" s="2"/>
      <c r="BC234" s="2"/>
      <c r="BD234" s="2"/>
      <c r="BE234" s="2"/>
      <c r="BF234" s="2"/>
      <c r="BG234" s="2"/>
      <c r="BH234" s="2"/>
    </row>
    <row r="235" spans="1:60">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c r="AX235" s="2"/>
      <c r="AY235" s="2"/>
      <c r="AZ235" s="2"/>
      <c r="BA235" s="2"/>
      <c r="BB235" s="2"/>
      <c r="BC235" s="2"/>
      <c r="BD235" s="2"/>
      <c r="BE235" s="2"/>
      <c r="BF235" s="2"/>
      <c r="BG235" s="2"/>
      <c r="BH235" s="2"/>
    </row>
    <row r="236" spans="1:60">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c r="AX236" s="2"/>
      <c r="AY236" s="2"/>
      <c r="AZ236" s="2"/>
      <c r="BA236" s="2"/>
      <c r="BB236" s="2"/>
      <c r="BC236" s="2"/>
      <c r="BD236" s="2"/>
      <c r="BE236" s="2"/>
      <c r="BF236" s="2"/>
      <c r="BG236" s="2"/>
      <c r="BH236" s="2"/>
    </row>
    <row r="237" spans="1:60">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c r="AX237" s="2"/>
      <c r="AY237" s="2"/>
      <c r="AZ237" s="2"/>
      <c r="BA237" s="2"/>
      <c r="BB237" s="2"/>
      <c r="BC237" s="2"/>
      <c r="BD237" s="2"/>
      <c r="BE237" s="2"/>
      <c r="BF237" s="2"/>
      <c r="BG237" s="2"/>
      <c r="BH237" s="2"/>
    </row>
    <row r="238" spans="1:60">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c r="AX238" s="2"/>
      <c r="AY238" s="2"/>
      <c r="AZ238" s="2"/>
      <c r="BA238" s="2"/>
      <c r="BB238" s="2"/>
      <c r="BC238" s="2"/>
      <c r="BD238" s="2"/>
      <c r="BE238" s="2"/>
      <c r="BF238" s="2"/>
      <c r="BG238" s="2"/>
      <c r="BH238" s="2"/>
    </row>
    <row r="239" spans="1:60">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c r="AX239" s="2"/>
      <c r="AY239" s="2"/>
      <c r="AZ239" s="2"/>
      <c r="BA239" s="2"/>
      <c r="BB239" s="2"/>
      <c r="BC239" s="2"/>
      <c r="BD239" s="2"/>
      <c r="BE239" s="2"/>
      <c r="BF239" s="2"/>
      <c r="BG239" s="2"/>
      <c r="BH239" s="2"/>
    </row>
    <row r="240" spans="1:60">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c r="AX240" s="2"/>
      <c r="AY240" s="2"/>
      <c r="AZ240" s="2"/>
      <c r="BA240" s="2"/>
      <c r="BB240" s="2"/>
      <c r="BC240" s="2"/>
      <c r="BD240" s="2"/>
      <c r="BE240" s="2"/>
      <c r="BF240" s="2"/>
      <c r="BG240" s="2"/>
      <c r="BH240" s="2"/>
    </row>
    <row r="241" spans="1:60">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c r="AX241" s="2"/>
      <c r="AY241" s="2"/>
      <c r="AZ241" s="2"/>
      <c r="BA241" s="2"/>
      <c r="BB241" s="2"/>
      <c r="BC241" s="2"/>
      <c r="BD241" s="2"/>
      <c r="BE241" s="2"/>
      <c r="BF241" s="2"/>
      <c r="BG241" s="2"/>
      <c r="BH241" s="2"/>
    </row>
    <row r="242" spans="1:60">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c r="AX242" s="2"/>
      <c r="AY242" s="2"/>
      <c r="AZ242" s="2"/>
      <c r="BA242" s="2"/>
      <c r="BB242" s="2"/>
      <c r="BC242" s="2"/>
      <c r="BD242" s="2"/>
      <c r="BE242" s="2"/>
      <c r="BF242" s="2"/>
      <c r="BG242" s="2"/>
      <c r="BH242" s="2"/>
    </row>
    <row r="243" spans="1:60">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c r="AX243" s="2"/>
      <c r="AY243" s="2"/>
      <c r="AZ243" s="2"/>
      <c r="BA243" s="2"/>
      <c r="BB243" s="2"/>
      <c r="BC243" s="2"/>
      <c r="BD243" s="2"/>
      <c r="BE243" s="2"/>
      <c r="BF243" s="2"/>
      <c r="BG243" s="2"/>
      <c r="BH243" s="2"/>
    </row>
    <row r="244" spans="1:60">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c r="AX244" s="2"/>
      <c r="AY244" s="2"/>
      <c r="AZ244" s="2"/>
      <c r="BA244" s="2"/>
      <c r="BB244" s="2"/>
      <c r="BC244" s="2"/>
      <c r="BD244" s="2"/>
      <c r="BE244" s="2"/>
      <c r="BF244" s="2"/>
      <c r="BG244" s="2"/>
      <c r="BH244" s="2"/>
    </row>
    <row r="245" spans="1:60">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c r="AX245" s="2"/>
      <c r="AY245" s="2"/>
      <c r="AZ245" s="2"/>
      <c r="BA245" s="2"/>
      <c r="BB245" s="2"/>
      <c r="BC245" s="2"/>
      <c r="BD245" s="2"/>
      <c r="BE245" s="2"/>
      <c r="BF245" s="2"/>
      <c r="BG245" s="2"/>
      <c r="BH245" s="2"/>
    </row>
    <row r="246" spans="1:60">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c r="AX246" s="2"/>
      <c r="AY246" s="2"/>
      <c r="AZ246" s="2"/>
      <c r="BA246" s="2"/>
      <c r="BB246" s="2"/>
      <c r="BC246" s="2"/>
      <c r="BD246" s="2"/>
      <c r="BE246" s="2"/>
      <c r="BF246" s="2"/>
      <c r="BG246" s="2"/>
      <c r="BH246" s="2"/>
    </row>
    <row r="247" spans="1:60">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c r="AX247" s="2"/>
      <c r="AY247" s="2"/>
      <c r="AZ247" s="2"/>
      <c r="BA247" s="2"/>
      <c r="BB247" s="2"/>
      <c r="BC247" s="2"/>
      <c r="BD247" s="2"/>
      <c r="BE247" s="2"/>
      <c r="BF247" s="2"/>
      <c r="BG247" s="2"/>
      <c r="BH247" s="2"/>
    </row>
    <row r="248" spans="1:60">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c r="AX248" s="2"/>
      <c r="AY248" s="2"/>
      <c r="AZ248" s="2"/>
      <c r="BA248" s="2"/>
      <c r="BB248" s="2"/>
      <c r="BC248" s="2"/>
      <c r="BD248" s="2"/>
      <c r="BE248" s="2"/>
      <c r="BF248" s="2"/>
      <c r="BG248" s="2"/>
      <c r="BH248" s="2"/>
    </row>
    <row r="249" spans="1:60">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c r="AX249" s="2"/>
      <c r="AY249" s="2"/>
      <c r="AZ249" s="2"/>
      <c r="BA249" s="2"/>
      <c r="BB249" s="2"/>
      <c r="BC249" s="2"/>
      <c r="BD249" s="2"/>
      <c r="BE249" s="2"/>
      <c r="BF249" s="2"/>
      <c r="BG249" s="2"/>
      <c r="BH249" s="2"/>
    </row>
    <row r="250" spans="1:60">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c r="AX250" s="2"/>
      <c r="AY250" s="2"/>
      <c r="AZ250" s="2"/>
      <c r="BA250" s="2"/>
      <c r="BB250" s="2"/>
      <c r="BC250" s="2"/>
      <c r="BD250" s="2"/>
      <c r="BE250" s="2"/>
      <c r="BF250" s="2"/>
      <c r="BG250" s="2"/>
      <c r="BH250" s="2"/>
    </row>
    <row r="251" spans="1:60">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c r="AX251" s="2"/>
      <c r="AY251" s="2"/>
      <c r="AZ251" s="2"/>
      <c r="BA251" s="2"/>
      <c r="BB251" s="2"/>
      <c r="BC251" s="2"/>
      <c r="BD251" s="2"/>
      <c r="BE251" s="2"/>
      <c r="BF251" s="2"/>
      <c r="BG251" s="2"/>
      <c r="BH251" s="2"/>
    </row>
    <row r="252" spans="1:60">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c r="AX252" s="2"/>
      <c r="AY252" s="2"/>
      <c r="AZ252" s="2"/>
      <c r="BA252" s="2"/>
      <c r="BB252" s="2"/>
      <c r="BC252" s="2"/>
      <c r="BD252" s="2"/>
      <c r="BE252" s="2"/>
      <c r="BF252" s="2"/>
      <c r="BG252" s="2"/>
      <c r="BH252" s="2"/>
    </row>
    <row r="253" spans="1:60">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c r="AX253" s="2"/>
      <c r="AY253" s="2"/>
      <c r="AZ253" s="2"/>
      <c r="BA253" s="2"/>
      <c r="BB253" s="2"/>
      <c r="BC253" s="2"/>
      <c r="BD253" s="2"/>
      <c r="BE253" s="2"/>
      <c r="BF253" s="2"/>
      <c r="BG253" s="2"/>
      <c r="BH253" s="2"/>
    </row>
    <row r="254" spans="1:60">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c r="AX254" s="2"/>
      <c r="AY254" s="2"/>
      <c r="AZ254" s="2"/>
      <c r="BA254" s="2"/>
      <c r="BB254" s="2"/>
      <c r="BC254" s="2"/>
      <c r="BD254" s="2"/>
      <c r="BE254" s="2"/>
      <c r="BF254" s="2"/>
      <c r="BG254" s="2"/>
      <c r="BH254" s="2"/>
    </row>
    <row r="255" spans="1:60">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c r="AX255" s="2"/>
      <c r="AY255" s="2"/>
      <c r="AZ255" s="2"/>
      <c r="BA255" s="2"/>
      <c r="BB255" s="2"/>
      <c r="BC255" s="2"/>
      <c r="BD255" s="2"/>
      <c r="BE255" s="2"/>
      <c r="BF255" s="2"/>
      <c r="BG255" s="2"/>
      <c r="BH255" s="2"/>
    </row>
    <row r="256" spans="1:60">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c r="AX256" s="2"/>
      <c r="AY256" s="2"/>
      <c r="AZ256" s="2"/>
      <c r="BA256" s="2"/>
      <c r="BB256" s="2"/>
      <c r="BC256" s="2"/>
      <c r="BD256" s="2"/>
      <c r="BE256" s="2"/>
      <c r="BF256" s="2"/>
      <c r="BG256" s="2"/>
      <c r="BH256" s="2"/>
    </row>
    <row r="257" spans="1:60">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c r="AX257" s="2"/>
      <c r="AY257" s="2"/>
      <c r="AZ257" s="2"/>
      <c r="BA257" s="2"/>
      <c r="BB257" s="2"/>
      <c r="BC257" s="2"/>
      <c r="BD257" s="2"/>
      <c r="BE257" s="2"/>
      <c r="BF257" s="2"/>
      <c r="BG257" s="2"/>
      <c r="BH257" s="2"/>
    </row>
    <row r="258" spans="1:60">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c r="AX258" s="2"/>
      <c r="AY258" s="2"/>
      <c r="AZ258" s="2"/>
      <c r="BA258" s="2"/>
      <c r="BB258" s="2"/>
      <c r="BC258" s="2"/>
      <c r="BD258" s="2"/>
      <c r="BE258" s="2"/>
      <c r="BF258" s="2"/>
      <c r="BG258" s="2"/>
      <c r="BH258" s="2"/>
    </row>
    <row r="259" spans="1:60">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c r="AX259" s="2"/>
      <c r="AY259" s="2"/>
      <c r="AZ259" s="2"/>
      <c r="BA259" s="2"/>
      <c r="BB259" s="2"/>
      <c r="BC259" s="2"/>
      <c r="BD259" s="2"/>
      <c r="BE259" s="2"/>
      <c r="BF259" s="2"/>
      <c r="BG259" s="2"/>
      <c r="BH259" s="2"/>
    </row>
    <row r="260" spans="1:60">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c r="AX260" s="2"/>
      <c r="AY260" s="2"/>
      <c r="AZ260" s="2"/>
      <c r="BA260" s="2"/>
      <c r="BB260" s="2"/>
      <c r="BC260" s="2"/>
      <c r="BD260" s="2"/>
      <c r="BE260" s="2"/>
      <c r="BF260" s="2"/>
      <c r="BG260" s="2"/>
      <c r="BH260" s="2"/>
    </row>
    <row r="261" spans="1:60">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c r="AX261" s="2"/>
      <c r="AY261" s="2"/>
      <c r="AZ261" s="2"/>
      <c r="BA261" s="2"/>
      <c r="BB261" s="2"/>
      <c r="BC261" s="2"/>
      <c r="BD261" s="2"/>
      <c r="BE261" s="2"/>
      <c r="BF261" s="2"/>
      <c r="BG261" s="2"/>
      <c r="BH261" s="2"/>
    </row>
    <row r="262" spans="1:60">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c r="AX262" s="2"/>
      <c r="AY262" s="2"/>
      <c r="AZ262" s="2"/>
      <c r="BA262" s="2"/>
      <c r="BB262" s="2"/>
      <c r="BC262" s="2"/>
      <c r="BD262" s="2"/>
      <c r="BE262" s="2"/>
      <c r="BF262" s="2"/>
      <c r="BG262" s="2"/>
      <c r="BH262" s="2"/>
    </row>
    <row r="263" spans="1:60">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c r="AX263" s="2"/>
      <c r="AY263" s="2"/>
      <c r="AZ263" s="2"/>
      <c r="BA263" s="2"/>
      <c r="BB263" s="2"/>
      <c r="BC263" s="2"/>
      <c r="BD263" s="2"/>
      <c r="BE263" s="2"/>
      <c r="BF263" s="2"/>
      <c r="BG263" s="2"/>
      <c r="BH263" s="2"/>
    </row>
    <row r="264" spans="1:60">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c r="AX264" s="2"/>
      <c r="AY264" s="2"/>
      <c r="AZ264" s="2"/>
      <c r="BA264" s="2"/>
      <c r="BB264" s="2"/>
      <c r="BC264" s="2"/>
      <c r="BD264" s="2"/>
      <c r="BE264" s="2"/>
      <c r="BF264" s="2"/>
      <c r="BG264" s="2"/>
      <c r="BH264" s="2"/>
    </row>
    <row r="265" spans="1:60">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c r="AX265" s="2"/>
      <c r="AY265" s="2"/>
      <c r="AZ265" s="2"/>
      <c r="BA265" s="2"/>
      <c r="BB265" s="2"/>
      <c r="BC265" s="2"/>
      <c r="BD265" s="2"/>
      <c r="BE265" s="2"/>
      <c r="BF265" s="2"/>
      <c r="BG265" s="2"/>
      <c r="BH265" s="2"/>
    </row>
    <row r="266" spans="1:60">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c r="AX266" s="2"/>
      <c r="AY266" s="2"/>
      <c r="AZ266" s="2"/>
      <c r="BA266" s="2"/>
      <c r="BB266" s="2"/>
      <c r="BC266" s="2"/>
      <c r="BD266" s="2"/>
      <c r="BE266" s="2"/>
      <c r="BF266" s="2"/>
      <c r="BG266" s="2"/>
      <c r="BH266" s="2"/>
    </row>
    <row r="267" spans="1:60">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c r="AX267" s="2"/>
      <c r="AY267" s="2"/>
      <c r="AZ267" s="2"/>
      <c r="BA267" s="2"/>
      <c r="BB267" s="2"/>
      <c r="BC267" s="2"/>
      <c r="BD267" s="2"/>
      <c r="BE267" s="2"/>
      <c r="BF267" s="2"/>
      <c r="BG267" s="2"/>
      <c r="BH267" s="2"/>
    </row>
    <row r="268" spans="1:60">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c r="AX268" s="2"/>
      <c r="AY268" s="2"/>
      <c r="AZ268" s="2"/>
      <c r="BA268" s="2"/>
      <c r="BB268" s="2"/>
      <c r="BC268" s="2"/>
      <c r="BD268" s="2"/>
      <c r="BE268" s="2"/>
      <c r="BF268" s="2"/>
      <c r="BG268" s="2"/>
      <c r="BH268" s="2"/>
    </row>
    <row r="269" spans="1:60">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c r="AX269" s="2"/>
      <c r="AY269" s="2"/>
      <c r="AZ269" s="2"/>
      <c r="BA269" s="2"/>
      <c r="BB269" s="2"/>
      <c r="BC269" s="2"/>
      <c r="BD269" s="2"/>
      <c r="BE269" s="2"/>
      <c r="BF269" s="2"/>
      <c r="BG269" s="2"/>
      <c r="BH269" s="2"/>
    </row>
    <row r="270" spans="1:60">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c r="AX270" s="2"/>
      <c r="AY270" s="2"/>
      <c r="AZ270" s="2"/>
      <c r="BA270" s="2"/>
      <c r="BB270" s="2"/>
      <c r="BC270" s="2"/>
      <c r="BD270" s="2"/>
      <c r="BE270" s="2"/>
      <c r="BF270" s="2"/>
      <c r="BG270" s="2"/>
      <c r="BH270" s="2"/>
    </row>
    <row r="271" spans="1:60">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c r="AX271" s="2"/>
      <c r="AY271" s="2"/>
      <c r="AZ271" s="2"/>
      <c r="BA271" s="2"/>
      <c r="BB271" s="2"/>
      <c r="BC271" s="2"/>
      <c r="BD271" s="2"/>
      <c r="BE271" s="2"/>
      <c r="BF271" s="2"/>
      <c r="BG271" s="2"/>
      <c r="BH271" s="2"/>
    </row>
    <row r="272" spans="1:60">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c r="AX272" s="2"/>
      <c r="AY272" s="2"/>
      <c r="AZ272" s="2"/>
      <c r="BA272" s="2"/>
      <c r="BB272" s="2"/>
      <c r="BC272" s="2"/>
      <c r="BD272" s="2"/>
      <c r="BE272" s="2"/>
      <c r="BF272" s="2"/>
      <c r="BG272" s="2"/>
      <c r="BH272" s="2"/>
    </row>
    <row r="273" spans="1:60">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c r="AX273" s="2"/>
      <c r="AY273" s="2"/>
      <c r="AZ273" s="2"/>
      <c r="BA273" s="2"/>
      <c r="BB273" s="2"/>
      <c r="BC273" s="2"/>
      <c r="BD273" s="2"/>
      <c r="BE273" s="2"/>
      <c r="BF273" s="2"/>
      <c r="BG273" s="2"/>
      <c r="BH273" s="2"/>
    </row>
    <row r="274" spans="1:60">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c r="AX274" s="2"/>
      <c r="AY274" s="2"/>
      <c r="AZ274" s="2"/>
      <c r="BA274" s="2"/>
      <c r="BB274" s="2"/>
      <c r="BC274" s="2"/>
      <c r="BD274" s="2"/>
      <c r="BE274" s="2"/>
      <c r="BF274" s="2"/>
      <c r="BG274" s="2"/>
      <c r="BH274" s="2"/>
    </row>
    <row r="275" spans="1:60">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c r="AX275" s="2"/>
      <c r="AY275" s="2"/>
      <c r="AZ275" s="2"/>
      <c r="BA275" s="2"/>
      <c r="BB275" s="2"/>
      <c r="BC275" s="2"/>
      <c r="BD275" s="2"/>
      <c r="BE275" s="2"/>
      <c r="BF275" s="2"/>
      <c r="BG275" s="2"/>
      <c r="BH275" s="2"/>
    </row>
    <row r="276" spans="1:60">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c r="AX276" s="2"/>
      <c r="AY276" s="2"/>
      <c r="AZ276" s="2"/>
      <c r="BA276" s="2"/>
      <c r="BB276" s="2"/>
      <c r="BC276" s="2"/>
      <c r="BD276" s="2"/>
      <c r="BE276" s="2"/>
      <c r="BF276" s="2"/>
      <c r="BG276" s="2"/>
      <c r="BH276" s="2"/>
    </row>
    <row r="277" spans="1:60">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c r="AX277" s="2"/>
      <c r="AY277" s="2"/>
      <c r="AZ277" s="2"/>
      <c r="BA277" s="2"/>
      <c r="BB277" s="2"/>
      <c r="BC277" s="2"/>
      <c r="BD277" s="2"/>
      <c r="BE277" s="2"/>
      <c r="BF277" s="2"/>
      <c r="BG277" s="2"/>
      <c r="BH277" s="2"/>
    </row>
    <row r="278" spans="1:60">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c r="AX278" s="2"/>
      <c r="AY278" s="2"/>
      <c r="AZ278" s="2"/>
      <c r="BA278" s="2"/>
      <c r="BB278" s="2"/>
      <c r="BC278" s="2"/>
      <c r="BD278" s="2"/>
      <c r="BE278" s="2"/>
      <c r="BF278" s="2"/>
      <c r="BG278" s="2"/>
      <c r="BH278" s="2"/>
    </row>
    <row r="279" spans="1:60">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c r="AX279" s="2"/>
      <c r="AY279" s="2"/>
      <c r="AZ279" s="2"/>
      <c r="BA279" s="2"/>
      <c r="BB279" s="2"/>
      <c r="BC279" s="2"/>
      <c r="BD279" s="2"/>
      <c r="BE279" s="2"/>
      <c r="BF279" s="2"/>
      <c r="BG279" s="2"/>
      <c r="BH279" s="2"/>
    </row>
    <row r="280" spans="1:60">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c r="AX280" s="2"/>
      <c r="AY280" s="2"/>
      <c r="AZ280" s="2"/>
      <c r="BA280" s="2"/>
      <c r="BB280" s="2"/>
      <c r="BC280" s="2"/>
      <c r="BD280" s="2"/>
      <c r="BE280" s="2"/>
      <c r="BF280" s="2"/>
      <c r="BG280" s="2"/>
      <c r="BH280" s="2"/>
    </row>
    <row r="281" spans="1:60">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c r="AX281" s="2"/>
      <c r="AY281" s="2"/>
      <c r="AZ281" s="2"/>
      <c r="BA281" s="2"/>
      <c r="BB281" s="2"/>
      <c r="BC281" s="2"/>
      <c r="BD281" s="2"/>
      <c r="BE281" s="2"/>
      <c r="BF281" s="2"/>
      <c r="BG281" s="2"/>
      <c r="BH281" s="2"/>
    </row>
    <row r="282" spans="1:60">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c r="AX282" s="2"/>
      <c r="AY282" s="2"/>
      <c r="AZ282" s="2"/>
      <c r="BA282" s="2"/>
      <c r="BB282" s="2"/>
      <c r="BC282" s="2"/>
      <c r="BD282" s="2"/>
      <c r="BE282" s="2"/>
      <c r="BF282" s="2"/>
      <c r="BG282" s="2"/>
      <c r="BH282" s="2"/>
    </row>
    <row r="283" spans="1:60">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c r="AX283" s="2"/>
      <c r="AY283" s="2"/>
      <c r="AZ283" s="2"/>
      <c r="BA283" s="2"/>
      <c r="BB283" s="2"/>
      <c r="BC283" s="2"/>
      <c r="BD283" s="2"/>
      <c r="BE283" s="2"/>
      <c r="BF283" s="2"/>
      <c r="BG283" s="2"/>
      <c r="BH283" s="2"/>
    </row>
    <row r="284" spans="1:60">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c r="AX284" s="2"/>
      <c r="AY284" s="2"/>
      <c r="AZ284" s="2"/>
      <c r="BA284" s="2"/>
      <c r="BB284" s="2"/>
      <c r="BC284" s="2"/>
      <c r="BD284" s="2"/>
      <c r="BE284" s="2"/>
      <c r="BF284" s="2"/>
      <c r="BG284" s="2"/>
      <c r="BH284" s="2"/>
    </row>
    <row r="285" spans="1:60">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c r="AX285" s="2"/>
      <c r="AY285" s="2"/>
      <c r="AZ285" s="2"/>
      <c r="BA285" s="2"/>
      <c r="BB285" s="2"/>
      <c r="BC285" s="2"/>
      <c r="BD285" s="2"/>
      <c r="BE285" s="2"/>
      <c r="BF285" s="2"/>
      <c r="BG285" s="2"/>
      <c r="BH285" s="2"/>
    </row>
    <row r="286" spans="1:60">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c r="AX286" s="2"/>
      <c r="AY286" s="2"/>
      <c r="AZ286" s="2"/>
      <c r="BA286" s="2"/>
      <c r="BB286" s="2"/>
      <c r="BC286" s="2"/>
      <c r="BD286" s="2"/>
      <c r="BE286" s="2"/>
      <c r="BF286" s="2"/>
      <c r="BG286" s="2"/>
      <c r="BH286" s="2"/>
    </row>
    <row r="287" spans="1:60">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c r="AX287" s="2"/>
      <c r="AY287" s="2"/>
      <c r="AZ287" s="2"/>
      <c r="BA287" s="2"/>
      <c r="BB287" s="2"/>
      <c r="BC287" s="2"/>
      <c r="BD287" s="2"/>
      <c r="BE287" s="2"/>
      <c r="BF287" s="2"/>
      <c r="BG287" s="2"/>
      <c r="BH287" s="2"/>
    </row>
    <row r="288" spans="1:60">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c r="AX288" s="2"/>
      <c r="AY288" s="2"/>
      <c r="AZ288" s="2"/>
      <c r="BA288" s="2"/>
      <c r="BB288" s="2"/>
      <c r="BC288" s="2"/>
      <c r="BD288" s="2"/>
      <c r="BE288" s="2"/>
      <c r="BF288" s="2"/>
      <c r="BG288" s="2"/>
      <c r="BH288" s="2"/>
    </row>
    <row r="289" spans="1:60">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c r="AX289" s="2"/>
      <c r="AY289" s="2"/>
      <c r="AZ289" s="2"/>
      <c r="BA289" s="2"/>
      <c r="BB289" s="2"/>
      <c r="BC289" s="2"/>
      <c r="BD289" s="2"/>
      <c r="BE289" s="2"/>
      <c r="BF289" s="2"/>
      <c r="BG289" s="2"/>
      <c r="BH289" s="2"/>
    </row>
    <row r="290" spans="1:60">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c r="AX290" s="2"/>
      <c r="AY290" s="2"/>
      <c r="AZ290" s="2"/>
      <c r="BA290" s="2"/>
      <c r="BB290" s="2"/>
      <c r="BC290" s="2"/>
      <c r="BD290" s="2"/>
      <c r="BE290" s="2"/>
      <c r="BF290" s="2"/>
      <c r="BG290" s="2"/>
      <c r="BH290" s="2"/>
    </row>
    <row r="291" spans="1:60">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c r="AX291" s="2"/>
      <c r="AY291" s="2"/>
      <c r="AZ291" s="2"/>
      <c r="BA291" s="2"/>
      <c r="BB291" s="2"/>
      <c r="BC291" s="2"/>
      <c r="BD291" s="2"/>
      <c r="BE291" s="2"/>
      <c r="BF291" s="2"/>
      <c r="BG291" s="2"/>
      <c r="BH291" s="2"/>
    </row>
    <row r="292" spans="1:60">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c r="AX292" s="2"/>
      <c r="AY292" s="2"/>
      <c r="AZ292" s="2"/>
      <c r="BA292" s="2"/>
      <c r="BB292" s="2"/>
      <c r="BC292" s="2"/>
      <c r="BD292" s="2"/>
      <c r="BE292" s="2"/>
      <c r="BF292" s="2"/>
      <c r="BG292" s="2"/>
      <c r="BH292" s="2"/>
    </row>
    <row r="293" spans="1:60">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c r="AX293" s="2"/>
      <c r="AY293" s="2"/>
      <c r="AZ293" s="2"/>
      <c r="BA293" s="2"/>
      <c r="BB293" s="2"/>
      <c r="BC293" s="2"/>
      <c r="BD293" s="2"/>
      <c r="BE293" s="2"/>
      <c r="BF293" s="2"/>
      <c r="BG293" s="2"/>
      <c r="BH293" s="2"/>
    </row>
    <row r="294" spans="1:60">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c r="AX294" s="2"/>
      <c r="AY294" s="2"/>
      <c r="AZ294" s="2"/>
      <c r="BA294" s="2"/>
      <c r="BB294" s="2"/>
      <c r="BC294" s="2"/>
      <c r="BD294" s="2"/>
      <c r="BE294" s="2"/>
      <c r="BF294" s="2"/>
      <c r="BG294" s="2"/>
      <c r="BH294" s="2"/>
    </row>
    <row r="295" spans="1:60">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c r="AX295" s="2"/>
      <c r="AY295" s="2"/>
      <c r="AZ295" s="2"/>
      <c r="BA295" s="2"/>
      <c r="BB295" s="2"/>
      <c r="BC295" s="2"/>
      <c r="BD295" s="2"/>
      <c r="BE295" s="2"/>
      <c r="BF295" s="2"/>
      <c r="BG295" s="2"/>
      <c r="BH295" s="2"/>
    </row>
    <row r="296" spans="1:60">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c r="AX296" s="2"/>
      <c r="AY296" s="2"/>
      <c r="AZ296" s="2"/>
      <c r="BA296" s="2"/>
      <c r="BB296" s="2"/>
      <c r="BC296" s="2"/>
      <c r="BD296" s="2"/>
      <c r="BE296" s="2"/>
      <c r="BF296" s="2"/>
      <c r="BG296" s="2"/>
      <c r="BH296" s="2"/>
    </row>
    <row r="297" spans="1:60">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c r="AX297" s="2"/>
      <c r="AY297" s="2"/>
      <c r="AZ297" s="2"/>
      <c r="BA297" s="2"/>
      <c r="BB297" s="2"/>
      <c r="BC297" s="2"/>
      <c r="BD297" s="2"/>
      <c r="BE297" s="2"/>
      <c r="BF297" s="2"/>
      <c r="BG297" s="2"/>
      <c r="BH297" s="2"/>
    </row>
    <row r="298" spans="1:60">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c r="AX298" s="2"/>
      <c r="AY298" s="2"/>
      <c r="AZ298" s="2"/>
      <c r="BA298" s="2"/>
      <c r="BB298" s="2"/>
      <c r="BC298" s="2"/>
      <c r="BD298" s="2"/>
      <c r="BE298" s="2"/>
      <c r="BF298" s="2"/>
      <c r="BG298" s="2"/>
      <c r="BH298" s="2"/>
    </row>
    <row r="299" spans="1:60">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c r="AX299" s="2"/>
      <c r="AY299" s="2"/>
      <c r="AZ299" s="2"/>
      <c r="BA299" s="2"/>
      <c r="BB299" s="2"/>
      <c r="BC299" s="2"/>
      <c r="BD299" s="2"/>
      <c r="BE299" s="2"/>
      <c r="BF299" s="2"/>
      <c r="BG299" s="2"/>
      <c r="BH299" s="2"/>
    </row>
    <row r="300" spans="1:60">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c r="AX300" s="2"/>
      <c r="AY300" s="2"/>
      <c r="AZ300" s="2"/>
      <c r="BA300" s="2"/>
      <c r="BB300" s="2"/>
      <c r="BC300" s="2"/>
      <c r="BD300" s="2"/>
      <c r="BE300" s="2"/>
      <c r="BF300" s="2"/>
      <c r="BG300" s="2"/>
      <c r="BH300" s="2"/>
    </row>
    <row r="301" spans="1:60">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c r="AX301" s="2"/>
      <c r="AY301" s="2"/>
      <c r="AZ301" s="2"/>
      <c r="BA301" s="2"/>
      <c r="BB301" s="2"/>
      <c r="BC301" s="2"/>
      <c r="BD301" s="2"/>
      <c r="BE301" s="2"/>
      <c r="BF301" s="2"/>
      <c r="BG301" s="2"/>
      <c r="BH301" s="2"/>
    </row>
    <row r="302" spans="1:60">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c r="AX302" s="2"/>
      <c r="AY302" s="2"/>
      <c r="AZ302" s="2"/>
      <c r="BA302" s="2"/>
      <c r="BB302" s="2"/>
      <c r="BC302" s="2"/>
      <c r="BD302" s="2"/>
      <c r="BE302" s="2"/>
      <c r="BF302" s="2"/>
      <c r="BG302" s="2"/>
      <c r="BH302" s="2"/>
    </row>
    <row r="303" spans="1:60">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c r="AX303" s="2"/>
      <c r="AY303" s="2"/>
      <c r="AZ303" s="2"/>
      <c r="BA303" s="2"/>
      <c r="BB303" s="2"/>
      <c r="BC303" s="2"/>
      <c r="BD303" s="2"/>
      <c r="BE303" s="2"/>
      <c r="BF303" s="2"/>
      <c r="BG303" s="2"/>
      <c r="BH303" s="2"/>
    </row>
    <row r="304" spans="1:60">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c r="AX304" s="2"/>
      <c r="AY304" s="2"/>
      <c r="AZ304" s="2"/>
      <c r="BA304" s="2"/>
      <c r="BB304" s="2"/>
      <c r="BC304" s="2"/>
      <c r="BD304" s="2"/>
      <c r="BE304" s="2"/>
      <c r="BF304" s="2"/>
      <c r="BG304" s="2"/>
      <c r="BH304" s="2"/>
    </row>
    <row r="305" spans="1:60">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row>
    <row r="306" spans="1:60">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row>
    <row r="307" spans="1:60">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row>
    <row r="308" spans="1:60">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row>
    <row r="309" spans="1:60">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row>
    <row r="310" spans="1:60">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row>
    <row r="311" spans="1:60">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row>
    <row r="312" spans="1:60">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row>
    <row r="313" spans="1:60">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row>
    <row r="314" spans="1:60">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row>
    <row r="315" spans="1:60">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row>
    <row r="316" spans="1:60">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row>
    <row r="317" spans="1:60">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row>
    <row r="318" spans="1:60">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row>
    <row r="319" spans="1:60">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row>
    <row r="320" spans="1:60">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row>
    <row r="321" spans="1:60">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row>
    <row r="322" spans="1:60">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row>
    <row r="323" spans="1:60">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row>
    <row r="324" spans="1:60">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row>
    <row r="325" spans="1:60">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row>
    <row r="326" spans="1:60">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row>
    <row r="327" spans="1:60">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row>
    <row r="328" spans="1:60">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row>
    <row r="329" spans="1:60">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row>
    <row r="330" spans="1:60">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row>
    <row r="331" spans="1:60">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row>
    <row r="332" spans="1:60">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row>
    <row r="333" spans="1:60">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row>
  </sheetData>
  <mergeCells count="4">
    <mergeCell ref="A1:A2"/>
    <mergeCell ref="B1:I1"/>
    <mergeCell ref="J1:P1"/>
    <mergeCell ref="Q1:W1"/>
  </mergeCells>
  <pageMargins left="0.7" right="0.7" top="0.75" bottom="0.75" header="0.3" footer="0.3"/>
  <drawing r:id="rId1"/>
  <legacyDrawing r:id="rId2"/>
  <controls>
    <mc:AlternateContent xmlns:mc="http://schemas.openxmlformats.org/markup-compatibility/2006">
      <mc:Choice Requires="x14">
        <control shapeId="4097" r:id="rId3" name="ListBox1">
          <controlPr locked="0" defaultSize="0" autoLine="0" autoPict="0" linkedCell="AC2" listFillRange="ÜLKELERLVL" r:id="rId4">
            <anchor moveWithCells="1">
              <from>
                <xdr:col>23</xdr:col>
                <xdr:colOff>251460</xdr:colOff>
                <xdr:row>0</xdr:row>
                <xdr:rowOff>30480</xdr:rowOff>
              </from>
              <to>
                <xdr:col>27</xdr:col>
                <xdr:colOff>426720</xdr:colOff>
                <xdr:row>37</xdr:row>
                <xdr:rowOff>137160</xdr:rowOff>
              </to>
            </anchor>
          </controlPr>
        </control>
      </mc:Choice>
      <mc:Fallback>
        <control shapeId="4097" r:id="rId3" name="ListBox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092F8-09E9-40D2-934E-23B528148108}">
  <sheetPr codeName="Sayfa5"/>
  <dimension ref="A1:BH333"/>
  <sheetViews>
    <sheetView zoomScale="70" zoomScaleNormal="70" workbookViewId="0"/>
  </sheetViews>
  <sheetFormatPr defaultRowHeight="14.4"/>
  <cols>
    <col min="1" max="1" width="12.33203125" bestFit="1" customWidth="1"/>
    <col min="11" max="11" width="12.21875" bestFit="1" customWidth="1"/>
    <col min="12" max="12" width="14.88671875" bestFit="1" customWidth="1"/>
    <col min="13" max="13" width="10.44140625" bestFit="1" customWidth="1"/>
    <col min="17" max="17" width="11.5546875" bestFit="1" customWidth="1"/>
    <col min="18" max="18" width="14.88671875" bestFit="1" customWidth="1"/>
    <col min="19" max="19" width="10.44140625" bestFit="1" customWidth="1"/>
    <col min="20" max="20" width="15.33203125" bestFit="1" customWidth="1"/>
    <col min="23" max="23" width="12.21875" bestFit="1" customWidth="1"/>
    <col min="24" max="24" width="14.109375" bestFit="1" customWidth="1"/>
  </cols>
  <sheetData>
    <row r="1" spans="1:60">
      <c r="A1" s="11" t="s">
        <v>99</v>
      </c>
      <c r="B1" s="11" t="s">
        <v>114</v>
      </c>
      <c r="C1" s="11" t="s">
        <v>115</v>
      </c>
      <c r="D1" s="11" t="s">
        <v>116</v>
      </c>
      <c r="E1" s="11" t="s">
        <v>117</v>
      </c>
      <c r="F1" s="11" t="s">
        <v>118</v>
      </c>
      <c r="G1" s="11" t="s">
        <v>119</v>
      </c>
      <c r="H1" s="11" t="s">
        <v>120</v>
      </c>
      <c r="I1" s="11" t="s">
        <v>121</v>
      </c>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row>
    <row r="2" spans="1:60">
      <c r="A2" s="7" t="s">
        <v>122</v>
      </c>
      <c r="B2" s="7">
        <v>1.4416666666666669</v>
      </c>
      <c r="C2" s="7">
        <v>6.2361111111111116</v>
      </c>
      <c r="D2" s="7">
        <v>14.961111111111116</v>
      </c>
      <c r="E2" s="7">
        <v>23.733333333333334</v>
      </c>
      <c r="F2" s="7">
        <v>26.033333333333328</v>
      </c>
      <c r="G2" s="7">
        <v>18.863888888888891</v>
      </c>
      <c r="H2" s="7">
        <v>7.4000000000000012</v>
      </c>
      <c r="I2" s="7">
        <v>1.3416666666666668</v>
      </c>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row>
    <row r="3" spans="1:60">
      <c r="A3" s="7" t="s">
        <v>123</v>
      </c>
      <c r="B3" s="7">
        <v>1.0448171405288378</v>
      </c>
      <c r="C3" s="7">
        <v>2.8728435667001015</v>
      </c>
      <c r="D3" s="7">
        <v>4.7533012755213635</v>
      </c>
      <c r="E3" s="7">
        <v>3.1121880222303862</v>
      </c>
      <c r="F3" s="7">
        <v>3.0381385278301107</v>
      </c>
      <c r="G3" s="7">
        <v>4.7209655657519756</v>
      </c>
      <c r="H3" s="7">
        <v>3.0963573068088528</v>
      </c>
      <c r="I3" s="7">
        <v>0.87810672960149239</v>
      </c>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row>
    <row r="4" spans="1:60">
      <c r="A4" s="7" t="s">
        <v>88</v>
      </c>
      <c r="B4" s="7">
        <v>2.3080544918558017</v>
      </c>
      <c r="C4" s="7">
        <v>1.393508977610701</v>
      </c>
      <c r="D4" s="7">
        <v>1.6419391000189256</v>
      </c>
      <c r="E4" s="7">
        <v>0.74812982046341914</v>
      </c>
      <c r="F4" s="7">
        <v>-1.6235392103638433</v>
      </c>
      <c r="G4" s="7">
        <v>-1.2887988183967989</v>
      </c>
      <c r="H4" s="7">
        <v>-0.46732941706746922</v>
      </c>
      <c r="I4" s="7">
        <v>0.20181791137309624</v>
      </c>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row>
    <row r="5" spans="1:60">
      <c r="A5" s="7" t="s">
        <v>90</v>
      </c>
      <c r="B5" s="7">
        <v>7.3073472919137483</v>
      </c>
      <c r="C5" s="7">
        <v>2.7762634581981023</v>
      </c>
      <c r="D5" s="7">
        <v>3.6022971678867148</v>
      </c>
      <c r="E5" s="7">
        <v>8.8916892688011284E-2</v>
      </c>
      <c r="F5" s="7">
        <v>3.8565856006588439</v>
      </c>
      <c r="G5" s="7">
        <v>1.8524890277416017</v>
      </c>
      <c r="H5" s="7">
        <v>-0.58281893467028567</v>
      </c>
      <c r="I5" s="7">
        <v>-1.1732275734484663</v>
      </c>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row>
    <row r="6" spans="1:60">
      <c r="A6" s="7" t="s">
        <v>92</v>
      </c>
      <c r="B6" s="7">
        <v>0.2</v>
      </c>
      <c r="C6" s="7">
        <v>2.1</v>
      </c>
      <c r="D6" s="7">
        <v>8.6999999999999993</v>
      </c>
      <c r="E6" s="7">
        <v>19.2</v>
      </c>
      <c r="F6" s="7">
        <v>15.8</v>
      </c>
      <c r="G6" s="7">
        <v>5.3</v>
      </c>
      <c r="H6" s="7">
        <v>0.7</v>
      </c>
      <c r="I6" s="7">
        <v>0</v>
      </c>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row>
    <row r="7" spans="1:60">
      <c r="A7" s="7" t="s">
        <v>93</v>
      </c>
      <c r="B7" s="7">
        <v>5.7</v>
      </c>
      <c r="C7" s="7">
        <v>15.8</v>
      </c>
      <c r="D7" s="7">
        <v>30.3</v>
      </c>
      <c r="E7" s="7">
        <v>31.7</v>
      </c>
      <c r="F7" s="7">
        <v>30.3</v>
      </c>
      <c r="G7" s="7">
        <v>25.4</v>
      </c>
      <c r="H7" s="7">
        <v>12.2</v>
      </c>
      <c r="I7" s="7">
        <v>2.8</v>
      </c>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row>
    <row r="8" spans="1:60">
      <c r="A8" s="11" t="s">
        <v>100</v>
      </c>
      <c r="B8" s="11" t="s">
        <v>114</v>
      </c>
      <c r="C8" s="11" t="s">
        <v>115</v>
      </c>
      <c r="D8" s="11" t="s">
        <v>116</v>
      </c>
      <c r="E8" s="11" t="s">
        <v>117</v>
      </c>
      <c r="F8" s="11" t="s">
        <v>118</v>
      </c>
      <c r="G8" s="11" t="s">
        <v>119</v>
      </c>
      <c r="H8" s="11" t="s">
        <v>120</v>
      </c>
      <c r="I8" s="1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row>
    <row r="9" spans="1:60">
      <c r="A9" s="7" t="s">
        <v>122</v>
      </c>
      <c r="B9" s="7">
        <v>9.1083333333333325</v>
      </c>
      <c r="C9" s="7">
        <v>14.791666666666666</v>
      </c>
      <c r="D9" s="7">
        <v>22.147222222222219</v>
      </c>
      <c r="E9" s="7">
        <v>24.366666666666664</v>
      </c>
      <c r="F9" s="7">
        <v>18.583333333333332</v>
      </c>
      <c r="G9" s="7">
        <v>8.5833333333333321</v>
      </c>
      <c r="H9" s="7">
        <v>2.4111111111111114</v>
      </c>
      <c r="I9" s="7"/>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row>
    <row r="10" spans="1:60">
      <c r="A10" s="7" t="s">
        <v>123</v>
      </c>
      <c r="B10" s="7">
        <v>7.0164449687858301</v>
      </c>
      <c r="C10" s="7">
        <v>5.2665724825815996</v>
      </c>
      <c r="D10" s="7">
        <v>2.3484324390186151</v>
      </c>
      <c r="E10" s="7">
        <v>4.1731112066247578</v>
      </c>
      <c r="F10" s="7">
        <v>5.3967450507557926</v>
      </c>
      <c r="G10" s="7">
        <v>3.4889621870775755</v>
      </c>
      <c r="H10" s="7">
        <v>1.4510641962323036</v>
      </c>
      <c r="I10" s="7"/>
      <c r="J10" s="1"/>
      <c r="K10" s="7" t="s">
        <v>124</v>
      </c>
      <c r="L10" s="1"/>
      <c r="M10" s="7" t="s">
        <v>125</v>
      </c>
      <c r="N10" s="1"/>
      <c r="O10" s="1"/>
      <c r="P10" s="1"/>
      <c r="Q10" s="7" t="s">
        <v>26</v>
      </c>
      <c r="R10" s="1"/>
      <c r="S10" s="7" t="s">
        <v>125</v>
      </c>
      <c r="T10" s="1"/>
      <c r="U10" s="1"/>
      <c r="V10" s="1"/>
      <c r="W10" s="7" t="s">
        <v>29</v>
      </c>
      <c r="X10" s="1"/>
      <c r="Y10" s="7" t="s">
        <v>9</v>
      </c>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row>
    <row r="11" spans="1:60">
      <c r="A11" s="7" t="s">
        <v>88</v>
      </c>
      <c r="B11" s="7">
        <v>2.2962242629138419</v>
      </c>
      <c r="C11" s="7">
        <v>1.8097239898973216</v>
      </c>
      <c r="D11" s="7">
        <v>0.40343852090606475</v>
      </c>
      <c r="E11" s="7">
        <v>-1.8640738601410263</v>
      </c>
      <c r="F11" s="7">
        <v>-1.7145049444147618</v>
      </c>
      <c r="G11" s="7">
        <v>-0.73224322106180018</v>
      </c>
      <c r="H11" s="7">
        <v>0.71944833755953252</v>
      </c>
      <c r="I11" s="7"/>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row>
    <row r="12" spans="1:60">
      <c r="A12" s="7" t="s">
        <v>90</v>
      </c>
      <c r="B12" s="7">
        <v>5.7148969769966325</v>
      </c>
      <c r="C12" s="7">
        <v>3.1027402576913041</v>
      </c>
      <c r="D12" s="7">
        <v>-1.2887433611580512E-2</v>
      </c>
      <c r="E12" s="7">
        <v>4.3834890252266021</v>
      </c>
      <c r="F12" s="7">
        <v>2.5847092310542137</v>
      </c>
      <c r="G12" s="7">
        <v>0.56094038690964165</v>
      </c>
      <c r="H12" s="7">
        <v>1.4120548219445737</v>
      </c>
      <c r="I12" s="7"/>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row>
    <row r="13" spans="1:60">
      <c r="A13" s="7" t="s">
        <v>92</v>
      </c>
      <c r="B13" s="7">
        <v>2.1</v>
      </c>
      <c r="C13" s="7">
        <v>8.1</v>
      </c>
      <c r="D13" s="7">
        <v>17.3</v>
      </c>
      <c r="E13" s="7">
        <v>10</v>
      </c>
      <c r="F13" s="7">
        <v>3.1</v>
      </c>
      <c r="G13" s="7">
        <v>0.5</v>
      </c>
      <c r="H13" s="7">
        <v>0</v>
      </c>
      <c r="I13" s="7"/>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row>
    <row r="14" spans="1:60">
      <c r="A14" s="7" t="s">
        <v>93</v>
      </c>
      <c r="B14" s="7">
        <v>35.5</v>
      </c>
      <c r="C14" s="7">
        <v>30.3</v>
      </c>
      <c r="D14" s="7">
        <v>27.3</v>
      </c>
      <c r="E14" s="7">
        <v>30.5</v>
      </c>
      <c r="F14" s="7">
        <v>25.1</v>
      </c>
      <c r="G14" s="7">
        <v>14.4</v>
      </c>
      <c r="H14" s="7">
        <v>6.9</v>
      </c>
      <c r="I14" s="7"/>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row>
    <row r="15" spans="1:60">
      <c r="A15" s="11" t="s">
        <v>101</v>
      </c>
      <c r="B15" s="11" t="s">
        <v>114</v>
      </c>
      <c r="C15" s="11" t="s">
        <v>115</v>
      </c>
      <c r="D15" s="11" t="s">
        <v>116</v>
      </c>
      <c r="E15" s="11" t="s">
        <v>117</v>
      </c>
      <c r="F15" s="11" t="s">
        <v>118</v>
      </c>
      <c r="G15" s="11" t="s">
        <v>119</v>
      </c>
      <c r="H15" s="11" t="s">
        <v>120</v>
      </c>
      <c r="I15" s="1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row>
    <row r="16" spans="1:60">
      <c r="A16" s="7" t="s">
        <v>122</v>
      </c>
      <c r="B16" s="7">
        <v>5.9694444444444459</v>
      </c>
      <c r="C16" s="7">
        <v>5.2583333333333329</v>
      </c>
      <c r="D16" s="7">
        <v>16.094444444444445</v>
      </c>
      <c r="E16" s="7">
        <v>25.813888888888886</v>
      </c>
      <c r="F16" s="7">
        <v>27.405555555555555</v>
      </c>
      <c r="G16" s="7">
        <v>18.033333333333331</v>
      </c>
      <c r="H16" s="7">
        <v>6.6805555555555545</v>
      </c>
      <c r="I16" s="7"/>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row>
    <row r="17" spans="1:60">
      <c r="A17" s="7" t="s">
        <v>123</v>
      </c>
      <c r="B17" s="7">
        <v>3.331221950356908</v>
      </c>
      <c r="C17" s="7">
        <v>2.8417675586055342</v>
      </c>
      <c r="D17" s="7">
        <v>5.7149900359590404</v>
      </c>
      <c r="E17" s="7">
        <v>3.6605349162405036</v>
      </c>
      <c r="F17" s="7">
        <v>3.6328614809379314</v>
      </c>
      <c r="G17" s="7">
        <v>5.4767560784516549</v>
      </c>
      <c r="H17" s="7">
        <v>3.5899717025899833</v>
      </c>
      <c r="I17" s="7"/>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row>
    <row r="18" spans="1:60">
      <c r="A18" s="7" t="s">
        <v>88</v>
      </c>
      <c r="B18" s="7">
        <v>1.7034303539038158</v>
      </c>
      <c r="C18" s="7">
        <v>1.7111767416118704</v>
      </c>
      <c r="D18" s="7">
        <v>1.6358342255735563</v>
      </c>
      <c r="E18" s="7">
        <v>0.56038679308284356</v>
      </c>
      <c r="F18" s="7">
        <v>-2.05243750973864</v>
      </c>
      <c r="G18" s="7">
        <v>-1.0533090339086779</v>
      </c>
      <c r="H18" s="7">
        <v>9.1618729731412826E-3</v>
      </c>
      <c r="I18" s="7"/>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row>
    <row r="19" spans="1:60">
      <c r="A19" s="7" t="s">
        <v>90</v>
      </c>
      <c r="B19" s="7">
        <v>3.5275782560998974</v>
      </c>
      <c r="C19" s="7">
        <v>3.8220615243285114</v>
      </c>
      <c r="D19" s="7">
        <v>3.475022837495803</v>
      </c>
      <c r="E19" s="7">
        <v>-0.41354784209435014</v>
      </c>
      <c r="F19" s="7">
        <v>5.1842257345964367</v>
      </c>
      <c r="G19" s="7">
        <v>1.030145306465315</v>
      </c>
      <c r="H19" s="7">
        <v>-0.87644748183039534</v>
      </c>
      <c r="I19" s="7"/>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row>
    <row r="20" spans="1:60">
      <c r="A20" s="7" t="s">
        <v>92</v>
      </c>
      <c r="B20" s="7">
        <v>1.2</v>
      </c>
      <c r="C20" s="7">
        <v>1.1000000000000001</v>
      </c>
      <c r="D20" s="7">
        <v>7.5</v>
      </c>
      <c r="E20" s="7">
        <v>19.899999999999999</v>
      </c>
      <c r="F20" s="7">
        <v>15.4</v>
      </c>
      <c r="G20" s="7">
        <v>3.5</v>
      </c>
      <c r="H20" s="7">
        <v>0.3</v>
      </c>
      <c r="I20" s="7"/>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row>
    <row r="21" spans="1:60">
      <c r="A21" s="7" t="s">
        <v>93</v>
      </c>
      <c r="B21" s="7">
        <v>17.399999999999999</v>
      </c>
      <c r="C21" s="7">
        <v>15.3</v>
      </c>
      <c r="D21" s="7">
        <v>34.200000000000003</v>
      </c>
      <c r="E21" s="7">
        <v>33.9</v>
      </c>
      <c r="F21" s="7">
        <v>32.1</v>
      </c>
      <c r="G21" s="7">
        <v>26.5</v>
      </c>
      <c r="H21" s="7">
        <v>13.1</v>
      </c>
      <c r="I21" s="7"/>
      <c r="J21" s="1"/>
      <c r="K21" s="7" t="s">
        <v>9</v>
      </c>
      <c r="L21" s="7" t="s">
        <v>10</v>
      </c>
      <c r="M21" s="7" t="s">
        <v>20</v>
      </c>
      <c r="N21" s="7" t="s">
        <v>27</v>
      </c>
      <c r="O21" s="1"/>
      <c r="P21" s="1"/>
      <c r="Q21" s="7" t="s">
        <v>9</v>
      </c>
      <c r="R21" s="7" t="s">
        <v>10</v>
      </c>
      <c r="S21" s="7" t="s">
        <v>20</v>
      </c>
      <c r="T21" s="7" t="s">
        <v>39</v>
      </c>
      <c r="U21" s="1"/>
      <c r="V21" s="1"/>
      <c r="W21" s="7" t="s">
        <v>9</v>
      </c>
      <c r="X21" s="7" t="s">
        <v>10</v>
      </c>
      <c r="Y21" s="7" t="s">
        <v>20</v>
      </c>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row>
    <row r="22" spans="1:60">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row>
    <row r="23" spans="1:60">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row>
    <row r="24" spans="1:60">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row>
    <row r="25" spans="1:60">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row>
    <row r="26" spans="1:60">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row>
    <row r="27" spans="1:60">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row>
    <row r="28" spans="1:60">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row>
    <row r="29" spans="1:60">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row>
    <row r="30" spans="1:60">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row>
    <row r="31" spans="1:60">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row>
    <row r="32" spans="1:60">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row>
    <row r="33" spans="1:60">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row>
    <row r="34" spans="1:60">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row>
    <row r="35" spans="1:60">
      <c r="A35" s="1"/>
      <c r="B35" s="1"/>
      <c r="C35" s="1"/>
      <c r="D35" s="1"/>
      <c r="E35" s="1"/>
      <c r="F35" s="1"/>
      <c r="G35" s="1"/>
      <c r="H35" s="1"/>
      <c r="I35" s="1"/>
      <c r="J35" s="1"/>
      <c r="K35" s="7" t="s">
        <v>125</v>
      </c>
      <c r="L35" s="7" t="s">
        <v>124</v>
      </c>
      <c r="M35" s="7" t="s">
        <v>126</v>
      </c>
      <c r="N35" s="1"/>
      <c r="O35" s="1"/>
      <c r="P35" s="1"/>
      <c r="Q35" s="7" t="s">
        <v>125</v>
      </c>
      <c r="R35" s="7" t="s">
        <v>124</v>
      </c>
      <c r="S35" s="7" t="s">
        <v>126</v>
      </c>
      <c r="T35" s="1"/>
      <c r="U35" s="1"/>
      <c r="V35" s="1"/>
      <c r="W35" s="7" t="s">
        <v>125</v>
      </c>
      <c r="X35" s="7" t="s">
        <v>124</v>
      </c>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row>
    <row r="36" spans="1:60">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row>
    <row r="37" spans="1:60">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row>
    <row r="38" spans="1:60">
      <c r="A38" s="146" t="s">
        <v>83</v>
      </c>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row>
    <row r="39" spans="1:60" ht="24">
      <c r="A39" s="147" t="s">
        <v>84</v>
      </c>
      <c r="B39" s="147"/>
      <c r="C39" s="60" t="s">
        <v>224</v>
      </c>
      <c r="D39" s="61" t="s">
        <v>225</v>
      </c>
      <c r="E39" s="61" t="s">
        <v>226</v>
      </c>
      <c r="F39" s="61" t="s">
        <v>227</v>
      </c>
      <c r="G39" s="61" t="s">
        <v>228</v>
      </c>
      <c r="H39" s="61" t="s">
        <v>229</v>
      </c>
      <c r="I39" s="61" t="s">
        <v>230</v>
      </c>
      <c r="J39" s="61" t="s">
        <v>231</v>
      </c>
      <c r="K39" s="61" t="s">
        <v>232</v>
      </c>
      <c r="L39" s="61" t="s">
        <v>233</v>
      </c>
      <c r="M39" s="61" t="s">
        <v>234</v>
      </c>
      <c r="N39" s="61" t="s">
        <v>235</v>
      </c>
      <c r="O39" s="61" t="s">
        <v>236</v>
      </c>
      <c r="P39" s="61" t="s">
        <v>237</v>
      </c>
      <c r="Q39" s="61" t="s">
        <v>238</v>
      </c>
      <c r="R39" s="61" t="s">
        <v>239</v>
      </c>
      <c r="S39" s="61" t="s">
        <v>240</v>
      </c>
      <c r="T39" s="61" t="s">
        <v>241</v>
      </c>
      <c r="U39" s="61" t="s">
        <v>242</v>
      </c>
      <c r="V39" s="61" t="s">
        <v>243</v>
      </c>
      <c r="W39" s="61" t="s">
        <v>244</v>
      </c>
      <c r="X39" s="62" t="s">
        <v>245</v>
      </c>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row>
    <row r="40" spans="1:60">
      <c r="A40" s="148" t="s">
        <v>158</v>
      </c>
      <c r="B40" s="63" t="s">
        <v>190</v>
      </c>
      <c r="C40" s="64">
        <v>36</v>
      </c>
      <c r="D40" s="65">
        <v>36</v>
      </c>
      <c r="E40" s="65">
        <v>36</v>
      </c>
      <c r="F40" s="65">
        <v>36</v>
      </c>
      <c r="G40" s="65">
        <v>36</v>
      </c>
      <c r="H40" s="65">
        <v>36</v>
      </c>
      <c r="I40" s="65">
        <v>36</v>
      </c>
      <c r="J40" s="65">
        <v>36</v>
      </c>
      <c r="K40" s="65">
        <v>36</v>
      </c>
      <c r="L40" s="65">
        <v>36</v>
      </c>
      <c r="M40" s="65">
        <v>36</v>
      </c>
      <c r="N40" s="65">
        <v>36</v>
      </c>
      <c r="O40" s="65">
        <v>36</v>
      </c>
      <c r="P40" s="65">
        <v>36</v>
      </c>
      <c r="Q40" s="65">
        <v>36</v>
      </c>
      <c r="R40" s="65">
        <v>36</v>
      </c>
      <c r="S40" s="65">
        <v>36</v>
      </c>
      <c r="T40" s="65">
        <v>36</v>
      </c>
      <c r="U40" s="65">
        <v>36</v>
      </c>
      <c r="V40" s="65">
        <v>36</v>
      </c>
      <c r="W40" s="65">
        <v>36</v>
      </c>
      <c r="X40" s="66">
        <v>36</v>
      </c>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row>
    <row r="41" spans="1:60">
      <c r="A41" s="144"/>
      <c r="B41" s="67" t="s">
        <v>191</v>
      </c>
      <c r="C41" s="68">
        <v>64</v>
      </c>
      <c r="D41" s="69">
        <v>64</v>
      </c>
      <c r="E41" s="69">
        <v>64</v>
      </c>
      <c r="F41" s="69">
        <v>64</v>
      </c>
      <c r="G41" s="69">
        <v>64</v>
      </c>
      <c r="H41" s="69">
        <v>64</v>
      </c>
      <c r="I41" s="69">
        <v>64</v>
      </c>
      <c r="J41" s="69">
        <v>64</v>
      </c>
      <c r="K41" s="69">
        <v>64</v>
      </c>
      <c r="L41" s="69">
        <v>64</v>
      </c>
      <c r="M41" s="69">
        <v>64</v>
      </c>
      <c r="N41" s="69">
        <v>64</v>
      </c>
      <c r="O41" s="69">
        <v>64</v>
      </c>
      <c r="P41" s="69">
        <v>64</v>
      </c>
      <c r="Q41" s="69">
        <v>64</v>
      </c>
      <c r="R41" s="69">
        <v>64</v>
      </c>
      <c r="S41" s="69">
        <v>64</v>
      </c>
      <c r="T41" s="69">
        <v>64</v>
      </c>
      <c r="U41" s="69">
        <v>64</v>
      </c>
      <c r="V41" s="69">
        <v>64</v>
      </c>
      <c r="W41" s="69">
        <v>64</v>
      </c>
      <c r="X41" s="70">
        <v>64</v>
      </c>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row>
    <row r="42" spans="1:60">
      <c r="A42" s="144" t="s">
        <v>122</v>
      </c>
      <c r="B42" s="144"/>
      <c r="C42" s="71">
        <v>1.4416666666666669</v>
      </c>
      <c r="D42" s="72">
        <v>6.2361111111111116</v>
      </c>
      <c r="E42" s="72">
        <v>14.961111111111116</v>
      </c>
      <c r="F42" s="72">
        <v>23.733333333333334</v>
      </c>
      <c r="G42" s="72">
        <v>26.033333333333328</v>
      </c>
      <c r="H42" s="72">
        <v>18.863888888888891</v>
      </c>
      <c r="I42" s="72">
        <v>7.4000000000000012</v>
      </c>
      <c r="J42" s="72">
        <v>1.3416666666666668</v>
      </c>
      <c r="K42" s="72">
        <v>9.1083333333333325</v>
      </c>
      <c r="L42" s="72">
        <v>14.791666666666666</v>
      </c>
      <c r="M42" s="72">
        <v>22.147222222222219</v>
      </c>
      <c r="N42" s="72">
        <v>24.366666666666664</v>
      </c>
      <c r="O42" s="72">
        <v>18.583333333333332</v>
      </c>
      <c r="P42" s="72">
        <v>8.5833333333333321</v>
      </c>
      <c r="Q42" s="72">
        <v>2.4111111111111114</v>
      </c>
      <c r="R42" s="72">
        <v>5.9694444444444459</v>
      </c>
      <c r="S42" s="72">
        <v>5.2583333333333329</v>
      </c>
      <c r="T42" s="72">
        <v>16.094444444444445</v>
      </c>
      <c r="U42" s="72">
        <v>25.813888888888886</v>
      </c>
      <c r="V42" s="72">
        <v>27.405555555555555</v>
      </c>
      <c r="W42" s="72">
        <v>18.033333333333331</v>
      </c>
      <c r="X42" s="73">
        <v>6.6805555555555545</v>
      </c>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row>
    <row r="43" spans="1:60">
      <c r="A43" s="144" t="s">
        <v>88</v>
      </c>
      <c r="B43" s="144"/>
      <c r="C43" s="74">
        <v>2.3080544918558017</v>
      </c>
      <c r="D43" s="75">
        <v>1.393508977610701</v>
      </c>
      <c r="E43" s="75">
        <v>1.6419391000189256</v>
      </c>
      <c r="F43" s="75">
        <v>0.74812982046341914</v>
      </c>
      <c r="G43" s="75">
        <v>-1.6235392103638433</v>
      </c>
      <c r="H43" s="75">
        <v>-1.2887988183967989</v>
      </c>
      <c r="I43" s="75">
        <v>-0.46732941706746922</v>
      </c>
      <c r="J43" s="75">
        <v>0.20181791137309624</v>
      </c>
      <c r="K43" s="75">
        <v>2.2962242629138419</v>
      </c>
      <c r="L43" s="75">
        <v>1.8097239898973216</v>
      </c>
      <c r="M43" s="75">
        <v>0.40343852090606475</v>
      </c>
      <c r="N43" s="75">
        <v>-1.8640738601410263</v>
      </c>
      <c r="O43" s="75">
        <v>-1.7145049444147618</v>
      </c>
      <c r="P43" s="75">
        <v>-0.73224322106180018</v>
      </c>
      <c r="Q43" s="75">
        <v>0.71944833755953252</v>
      </c>
      <c r="R43" s="75">
        <v>1.7034303539038158</v>
      </c>
      <c r="S43" s="75">
        <v>1.7111767416118704</v>
      </c>
      <c r="T43" s="75">
        <v>1.6358342255735563</v>
      </c>
      <c r="U43" s="75">
        <v>0.56038679308284356</v>
      </c>
      <c r="V43" s="75">
        <v>-2.05243750973864</v>
      </c>
      <c r="W43" s="75">
        <v>-1.0533090339086779</v>
      </c>
      <c r="X43" s="76">
        <v>9.1618729731412826E-3</v>
      </c>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row>
    <row r="44" spans="1:60">
      <c r="A44" s="144" t="s">
        <v>89</v>
      </c>
      <c r="B44" s="144"/>
      <c r="C44" s="74">
        <v>0.39254393680967287</v>
      </c>
      <c r="D44" s="75">
        <v>0.39254393680967287</v>
      </c>
      <c r="E44" s="75">
        <v>0.39254393680967287</v>
      </c>
      <c r="F44" s="75">
        <v>0.39254393680967287</v>
      </c>
      <c r="G44" s="75">
        <v>0.39254393680967287</v>
      </c>
      <c r="H44" s="75">
        <v>0.39254393680967287</v>
      </c>
      <c r="I44" s="75">
        <v>0.39254393680967287</v>
      </c>
      <c r="J44" s="75">
        <v>0.39254393680967287</v>
      </c>
      <c r="K44" s="75">
        <v>0.39254393680967287</v>
      </c>
      <c r="L44" s="75">
        <v>0.39254393680967287</v>
      </c>
      <c r="M44" s="75">
        <v>0.39254393680967287</v>
      </c>
      <c r="N44" s="75">
        <v>0.39254393680967287</v>
      </c>
      <c r="O44" s="75">
        <v>0.39254393680967287</v>
      </c>
      <c r="P44" s="75">
        <v>0.39254393680967287</v>
      </c>
      <c r="Q44" s="75">
        <v>0.39254393680967287</v>
      </c>
      <c r="R44" s="75">
        <v>0.39254393680967287</v>
      </c>
      <c r="S44" s="75">
        <v>0.39254393680967287</v>
      </c>
      <c r="T44" s="75">
        <v>0.39254393680967287</v>
      </c>
      <c r="U44" s="75">
        <v>0.39254393680967287</v>
      </c>
      <c r="V44" s="75">
        <v>0.39254393680967287</v>
      </c>
      <c r="W44" s="75">
        <v>0.39254393680967287</v>
      </c>
      <c r="X44" s="76">
        <v>0.39254393680967287</v>
      </c>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row>
    <row r="45" spans="1:60">
      <c r="A45" s="144" t="s">
        <v>90</v>
      </c>
      <c r="B45" s="144"/>
      <c r="C45" s="74">
        <v>7.3073472919137483</v>
      </c>
      <c r="D45" s="75">
        <v>2.7762634581981023</v>
      </c>
      <c r="E45" s="75">
        <v>3.6022971678867148</v>
      </c>
      <c r="F45" s="75">
        <v>8.8916892688011284E-2</v>
      </c>
      <c r="G45" s="75">
        <v>3.8565856006588439</v>
      </c>
      <c r="H45" s="75">
        <v>1.8524890277416017</v>
      </c>
      <c r="I45" s="75">
        <v>-0.58281893467028567</v>
      </c>
      <c r="J45" s="75">
        <v>-1.1732275734484663</v>
      </c>
      <c r="K45" s="75">
        <v>5.7148969769966325</v>
      </c>
      <c r="L45" s="75">
        <v>3.1027402576913041</v>
      </c>
      <c r="M45" s="75">
        <v>-1.2887433611580512E-2</v>
      </c>
      <c r="N45" s="75">
        <v>4.3834890252266021</v>
      </c>
      <c r="O45" s="75">
        <v>2.5847092310542137</v>
      </c>
      <c r="P45" s="75">
        <v>0.56094038690964165</v>
      </c>
      <c r="Q45" s="75">
        <v>1.4120548219445737</v>
      </c>
      <c r="R45" s="75">
        <v>3.5275782560998974</v>
      </c>
      <c r="S45" s="75">
        <v>3.8220615243285114</v>
      </c>
      <c r="T45" s="75">
        <v>3.475022837495803</v>
      </c>
      <c r="U45" s="75">
        <v>-0.41354784209435014</v>
      </c>
      <c r="V45" s="75">
        <v>5.1842257345964367</v>
      </c>
      <c r="W45" s="75">
        <v>1.030145306465315</v>
      </c>
      <c r="X45" s="76">
        <v>-0.87644748183039534</v>
      </c>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row>
    <row r="46" spans="1:60">
      <c r="A46" s="145" t="s">
        <v>91</v>
      </c>
      <c r="B46" s="145"/>
      <c r="C46" s="77">
        <v>0.76807610663225034</v>
      </c>
      <c r="D46" s="78">
        <v>0.76807610663225034</v>
      </c>
      <c r="E46" s="78">
        <v>0.76807610663225034</v>
      </c>
      <c r="F46" s="78">
        <v>0.76807610663225034</v>
      </c>
      <c r="G46" s="78">
        <v>0.76807610663225034</v>
      </c>
      <c r="H46" s="78">
        <v>0.76807610663225034</v>
      </c>
      <c r="I46" s="78">
        <v>0.76807610663225034</v>
      </c>
      <c r="J46" s="78">
        <v>0.76807610663225034</v>
      </c>
      <c r="K46" s="78">
        <v>0.76807610663225034</v>
      </c>
      <c r="L46" s="78">
        <v>0.76807610663225034</v>
      </c>
      <c r="M46" s="78">
        <v>0.76807610663225034</v>
      </c>
      <c r="N46" s="78">
        <v>0.76807610663225034</v>
      </c>
      <c r="O46" s="78">
        <v>0.76807610663225034</v>
      </c>
      <c r="P46" s="78">
        <v>0.76807610663225034</v>
      </c>
      <c r="Q46" s="78">
        <v>0.76807610663225034</v>
      </c>
      <c r="R46" s="78">
        <v>0.76807610663225034</v>
      </c>
      <c r="S46" s="78">
        <v>0.76807610663225034</v>
      </c>
      <c r="T46" s="78">
        <v>0.76807610663225034</v>
      </c>
      <c r="U46" s="78">
        <v>0.76807610663225034</v>
      </c>
      <c r="V46" s="78">
        <v>0.76807610663225034</v>
      </c>
      <c r="W46" s="78">
        <v>0.76807610663225034</v>
      </c>
      <c r="X46" s="79">
        <v>0.76807610663225034</v>
      </c>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row>
    <row r="47" spans="1:60">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row>
    <row r="48" spans="1:60">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row>
    <row r="49" spans="1:60">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row>
    <row r="50" spans="1:60">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row>
    <row r="51" spans="1:60">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row>
    <row r="52" spans="1:60">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row>
    <row r="53" spans="1:60">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row>
    <row r="54" spans="1:60">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row>
    <row r="55" spans="1:60">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row>
    <row r="56" spans="1:60">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row>
    <row r="57" spans="1:60">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row>
    <row r="58" spans="1:60">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row>
    <row r="59" spans="1:60">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row>
    <row r="60" spans="1:60">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row>
    <row r="61" spans="1:60">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row>
    <row r="62" spans="1:60">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row>
    <row r="63" spans="1:60">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row>
    <row r="64" spans="1:60">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row>
    <row r="65" spans="1:60">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row>
    <row r="66" spans="1:60">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row>
    <row r="67" spans="1:60">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row>
    <row r="68" spans="1:60">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row>
    <row r="69" spans="1:60">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row>
    <row r="70" spans="1:60">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row>
    <row r="71" spans="1:60">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row>
    <row r="72" spans="1:60">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row>
    <row r="73" spans="1:60">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row>
    <row r="74" spans="1:60">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row>
    <row r="75" spans="1:60">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row>
    <row r="76" spans="1:60">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row>
    <row r="77" spans="1:60">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row>
    <row r="78" spans="1:60">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row>
    <row r="79" spans="1:60">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row>
    <row r="80" spans="1:60">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row>
    <row r="81" spans="1:60">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row>
    <row r="82" spans="1:60">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row>
    <row r="83" spans="1:60">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row>
    <row r="84" spans="1:60">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row>
    <row r="85" spans="1:60">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row>
    <row r="86" spans="1:60">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row>
    <row r="87" spans="1:60">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row>
    <row r="88" spans="1:60">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row>
    <row r="89" spans="1:60">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row>
    <row r="90" spans="1:60">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row>
    <row r="91" spans="1:60">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row>
    <row r="92" spans="1:60">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row>
    <row r="93" spans="1:60">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row>
    <row r="94" spans="1:60">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row>
    <row r="95" spans="1:60">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row>
    <row r="96" spans="1:60">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row>
    <row r="97" spans="1:60">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row>
    <row r="98" spans="1:60">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row>
    <row r="99" spans="1:60">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row>
    <row r="100" spans="1:60">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row>
    <row r="101" spans="1:60">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row>
    <row r="102" spans="1:60">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row>
    <row r="103" spans="1:60">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row>
    <row r="104" spans="1:60">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row>
    <row r="105" spans="1:60">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row>
    <row r="106" spans="1:60">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row>
    <row r="107" spans="1:60">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row>
    <row r="108" spans="1:60">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row>
    <row r="109" spans="1:60">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row>
    <row r="110" spans="1:60">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row>
    <row r="111" spans="1:60">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row>
    <row r="112" spans="1:60">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row>
    <row r="113" spans="1:60">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row>
    <row r="114" spans="1:60">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row>
    <row r="115" spans="1:60">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row>
    <row r="116" spans="1:60">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row>
    <row r="117" spans="1:60">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row>
    <row r="118" spans="1:60">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row>
    <row r="119" spans="1:60">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row>
    <row r="120" spans="1:60">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row>
    <row r="121" spans="1:60">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row>
    <row r="122" spans="1:60">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row>
    <row r="123" spans="1:60">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row>
    <row r="124" spans="1:60">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row>
    <row r="125" spans="1:60">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row>
    <row r="126" spans="1:60">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row>
    <row r="127" spans="1:60">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row>
    <row r="128" spans="1:60">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row>
    <row r="129" spans="1:60">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row>
    <row r="130" spans="1:60">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row>
    <row r="131" spans="1:60">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row>
    <row r="132" spans="1:60">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row>
    <row r="133" spans="1:60">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row>
    <row r="134" spans="1:60">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row>
    <row r="135" spans="1:60">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row>
    <row r="136" spans="1:60">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row>
    <row r="137" spans="1:60">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row>
    <row r="138" spans="1:60">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row>
    <row r="139" spans="1:60">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row>
    <row r="140" spans="1:60">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row>
    <row r="141" spans="1:60">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row>
    <row r="142" spans="1:60">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row>
    <row r="143" spans="1:60">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row>
    <row r="144" spans="1:60">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row>
    <row r="145" spans="1:60">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row>
    <row r="146" spans="1:60">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row>
    <row r="147" spans="1:60">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row>
    <row r="148" spans="1:60">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row>
    <row r="149" spans="1:60">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row>
    <row r="150" spans="1:60">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row>
    <row r="151" spans="1:60">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row>
    <row r="152" spans="1:60">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row>
    <row r="153" spans="1:60">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row>
    <row r="154" spans="1:60">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row>
    <row r="155" spans="1:60">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row>
    <row r="156" spans="1:60">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row>
    <row r="157" spans="1:60">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row>
    <row r="158" spans="1:60">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row>
    <row r="159" spans="1:60">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row>
    <row r="160" spans="1:60">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row>
    <row r="161" spans="1:60">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row>
    <row r="162" spans="1:60">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row>
    <row r="163" spans="1:60">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row>
    <row r="164" spans="1:60">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row>
    <row r="165" spans="1:60">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row>
    <row r="166" spans="1:60">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row>
    <row r="167" spans="1:60">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row>
    <row r="168" spans="1:60">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row>
    <row r="169" spans="1:60">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row>
    <row r="170" spans="1:60">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row>
    <row r="171" spans="1:60">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row>
    <row r="172" spans="1:60">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row>
    <row r="173" spans="1:60">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row>
    <row r="174" spans="1:60">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row>
    <row r="175" spans="1:60">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row>
    <row r="176" spans="1:60">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row>
    <row r="177" spans="1:60">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row>
    <row r="178" spans="1:60">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row>
    <row r="179" spans="1:60">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row>
    <row r="180" spans="1:60">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row>
    <row r="181" spans="1:60">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row>
    <row r="182" spans="1:60">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row>
    <row r="183" spans="1:60">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row>
    <row r="184" spans="1:60">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row>
    <row r="185" spans="1:60">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row>
    <row r="186" spans="1:60">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row>
    <row r="187" spans="1:60">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row>
    <row r="188" spans="1:60">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row>
    <row r="189" spans="1:60">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row>
    <row r="190" spans="1:60">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row>
    <row r="191" spans="1:60">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row>
    <row r="192" spans="1:60">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row>
    <row r="193" spans="1:60">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row>
    <row r="194" spans="1:60">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row>
    <row r="195" spans="1:60">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row>
    <row r="196" spans="1:60">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row>
    <row r="197" spans="1:60">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row>
    <row r="198" spans="1:60">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row>
    <row r="199" spans="1:60">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row>
    <row r="200" spans="1:60">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row>
    <row r="201" spans="1:60">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row>
    <row r="202" spans="1:60">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row>
    <row r="203" spans="1:60">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row>
    <row r="204" spans="1:60">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row>
    <row r="205" spans="1:60">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row>
    <row r="206" spans="1:60">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row>
    <row r="207" spans="1:60">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row>
    <row r="208" spans="1:60">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row>
    <row r="209" spans="1:60">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row>
    <row r="210" spans="1:60">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row>
    <row r="211" spans="1:60">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row>
    <row r="212" spans="1:60">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row>
    <row r="213" spans="1:60">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row>
    <row r="214" spans="1:60">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row>
    <row r="215" spans="1:60">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row>
    <row r="216" spans="1:60">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row>
    <row r="217" spans="1:60">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row>
    <row r="218" spans="1:60">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row>
    <row r="219" spans="1:60">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row>
    <row r="220" spans="1:60">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row>
    <row r="221" spans="1:60">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row>
    <row r="222" spans="1:60">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row>
    <row r="223" spans="1:60">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row>
    <row r="224" spans="1:60">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row>
    <row r="225" spans="1:60">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row>
    <row r="226" spans="1:60">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row>
    <row r="227" spans="1:60">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row>
    <row r="228" spans="1:60">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row>
    <row r="229" spans="1:60">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row>
    <row r="230" spans="1:60">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row>
    <row r="231" spans="1:60">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row>
    <row r="232" spans="1:60">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row>
    <row r="233" spans="1:60">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row>
    <row r="234" spans="1:60">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row>
    <row r="235" spans="1:60">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row>
    <row r="236" spans="1:60">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row>
    <row r="237" spans="1:60">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row>
    <row r="238" spans="1:60">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row>
    <row r="239" spans="1:60">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row>
    <row r="240" spans="1:60">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row>
    <row r="241" spans="1:60">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row>
    <row r="242" spans="1:60">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row>
    <row r="243" spans="1:60">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row>
    <row r="244" spans="1:60">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row>
    <row r="245" spans="1:60">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row>
    <row r="246" spans="1:60">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row>
    <row r="247" spans="1:60">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row>
    <row r="248" spans="1:60">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row>
    <row r="249" spans="1:60">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row>
    <row r="250" spans="1:60">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row>
    <row r="251" spans="1:60">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row>
    <row r="252" spans="1:60">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row>
    <row r="253" spans="1:60">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row>
    <row r="254" spans="1:60">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row>
    <row r="255" spans="1:60">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row>
    <row r="256" spans="1:60">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row>
    <row r="257" spans="1:60">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row>
    <row r="258" spans="1:60">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row>
    <row r="259" spans="1:60">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row>
    <row r="260" spans="1:60">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row>
    <row r="261" spans="1:60">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row>
    <row r="262" spans="1:60">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row>
    <row r="263" spans="1:60">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row>
    <row r="264" spans="1:60">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row>
    <row r="265" spans="1:60">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row>
    <row r="266" spans="1:60">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row>
    <row r="267" spans="1:60">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row>
    <row r="268" spans="1:60">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row>
    <row r="269" spans="1:60">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row>
    <row r="270" spans="1:60">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row>
    <row r="271" spans="1:60">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row>
    <row r="272" spans="1:60">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row>
    <row r="273" spans="1:60">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row>
    <row r="274" spans="1:60">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row>
    <row r="275" spans="1:60">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row>
    <row r="276" spans="1:60">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row>
    <row r="277" spans="1:60">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row>
    <row r="278" spans="1:60">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row>
    <row r="279" spans="1:60">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row>
    <row r="280" spans="1:60">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row>
    <row r="281" spans="1:60">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row>
    <row r="282" spans="1:60">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row>
    <row r="283" spans="1:60">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row>
    <row r="284" spans="1:60">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row>
    <row r="285" spans="1:60">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row>
    <row r="286" spans="1:60">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row>
    <row r="287" spans="1:60">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row>
    <row r="288" spans="1:60">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row>
    <row r="289" spans="1:60">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row>
    <row r="290" spans="1:60">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row>
    <row r="291" spans="1:60">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row>
    <row r="292" spans="1:60">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row>
    <row r="293" spans="1:60">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row>
    <row r="294" spans="1:60">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row>
    <row r="295" spans="1:60">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row>
    <row r="296" spans="1:60">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row>
    <row r="297" spans="1:60">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row>
    <row r="298" spans="1:60">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row>
    <row r="299" spans="1:60">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row>
    <row r="300" spans="1:60">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row>
    <row r="301" spans="1:60">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row>
    <row r="302" spans="1:60">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row>
    <row r="303" spans="1:60">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row>
    <row r="304" spans="1:60">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row>
    <row r="305" spans="1:60">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row>
    <row r="306" spans="1:60">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row>
    <row r="307" spans="1:60">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row>
    <row r="308" spans="1:60">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row>
    <row r="309" spans="1:60">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row>
    <row r="310" spans="1:60">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row>
    <row r="311" spans="1:60">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row>
    <row r="312" spans="1:60">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row>
    <row r="313" spans="1:60">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row>
    <row r="314" spans="1:60">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row>
    <row r="315" spans="1:60">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row>
    <row r="316" spans="1:60">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row>
    <row r="317" spans="1:60">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row>
    <row r="318" spans="1:60">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row>
    <row r="319" spans="1:60">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row>
    <row r="320" spans="1:60">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row>
    <row r="321" spans="1:60">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row>
    <row r="322" spans="1:60">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row>
    <row r="323" spans="1:60">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row>
    <row r="324" spans="1:60">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row>
    <row r="325" spans="1:60">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row>
    <row r="326" spans="1:60">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row>
    <row r="327" spans="1:60">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row>
    <row r="328" spans="1:60">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row>
    <row r="329" spans="1:60">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row>
    <row r="330" spans="1:60">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row>
    <row r="331" spans="1:60">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row>
    <row r="332" spans="1:60">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row>
    <row r="333" spans="1:60">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row>
  </sheetData>
  <mergeCells count="8">
    <mergeCell ref="A45:B45"/>
    <mergeCell ref="A46:B46"/>
    <mergeCell ref="A38:X38"/>
    <mergeCell ref="A39:B39"/>
    <mergeCell ref="A40:A41"/>
    <mergeCell ref="A42:B42"/>
    <mergeCell ref="A43:B43"/>
    <mergeCell ref="A44:B44"/>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2752D-3D70-4A89-8172-C5E70474EA12}">
  <sheetPr codeName="Sayfa6"/>
  <dimension ref="A1:BF314"/>
  <sheetViews>
    <sheetView tabSelected="1" zoomScale="55" zoomScaleNormal="55" workbookViewId="0">
      <selection sqref="A1:A2"/>
    </sheetView>
  </sheetViews>
  <sheetFormatPr defaultRowHeight="14.4"/>
  <cols>
    <col min="1" max="1" width="20.88671875" bestFit="1" customWidth="1"/>
    <col min="2" max="2" width="12.88671875" customWidth="1"/>
    <col min="3" max="3" width="13.109375" customWidth="1"/>
    <col min="4" max="5" width="11.5546875" customWidth="1"/>
    <col min="6" max="6" width="12.5546875" customWidth="1"/>
    <col min="7" max="7" width="13.33203125" customWidth="1"/>
    <col min="10" max="10" width="10.109375" bestFit="1" customWidth="1"/>
    <col min="15" max="15" width="13.21875" bestFit="1" customWidth="1"/>
    <col min="16" max="16" width="11.33203125" bestFit="1" customWidth="1"/>
    <col min="17" max="17" width="12.44140625" bestFit="1" customWidth="1"/>
    <col min="18" max="18" width="10.109375" bestFit="1" customWidth="1"/>
    <col min="21" max="21" width="10.6640625" bestFit="1" customWidth="1"/>
    <col min="22" max="22" width="10.44140625" bestFit="1" customWidth="1"/>
    <col min="24" max="24" width="12.44140625" bestFit="1" customWidth="1"/>
    <col min="25" max="25" width="12.21875" bestFit="1" customWidth="1"/>
    <col min="26" max="26" width="9.77734375" bestFit="1" customWidth="1"/>
    <col min="29" max="29" width="20.88671875" customWidth="1"/>
    <col min="30" max="30" width="13.21875" bestFit="1" customWidth="1"/>
    <col min="31" max="31" width="10.6640625" bestFit="1" customWidth="1"/>
    <col min="32" max="32" width="11.44140625" bestFit="1" customWidth="1"/>
  </cols>
  <sheetData>
    <row r="1" spans="1:58">
      <c r="A1" s="150" t="s">
        <v>0</v>
      </c>
      <c r="B1" s="152" t="s">
        <v>99</v>
      </c>
      <c r="C1" s="153"/>
      <c r="D1" s="152" t="s">
        <v>100</v>
      </c>
      <c r="E1" s="153"/>
      <c r="F1" s="152" t="s">
        <v>101</v>
      </c>
      <c r="G1" s="153"/>
      <c r="H1" s="1"/>
      <c r="I1" s="1"/>
      <c r="J1" s="1"/>
      <c r="K1" s="1"/>
      <c r="L1" s="1"/>
      <c r="M1" s="1"/>
      <c r="N1" s="1"/>
      <c r="O1" s="1"/>
      <c r="P1" s="1"/>
      <c r="Q1" s="1"/>
      <c r="R1" s="1"/>
      <c r="S1" s="1"/>
      <c r="T1" s="1"/>
      <c r="U1" s="1"/>
      <c r="V1" s="1"/>
      <c r="W1" s="1"/>
      <c r="X1" s="1"/>
      <c r="Y1" s="1"/>
      <c r="Z1" s="1"/>
      <c r="AA1" s="1"/>
      <c r="AB1" s="1"/>
      <c r="AC1" s="11" t="s">
        <v>0</v>
      </c>
      <c r="AD1" s="11" t="s">
        <v>171</v>
      </c>
      <c r="AE1" s="11" t="s">
        <v>172</v>
      </c>
      <c r="AF1" s="11" t="s">
        <v>173</v>
      </c>
      <c r="AG1" s="1"/>
      <c r="AH1" s="1"/>
      <c r="AI1" s="1"/>
      <c r="AJ1" s="1"/>
      <c r="AK1" s="1"/>
      <c r="AL1" s="1"/>
      <c r="AM1" s="1"/>
      <c r="AN1" s="1"/>
      <c r="AO1" s="1"/>
      <c r="AP1" s="1"/>
      <c r="AQ1" s="1"/>
      <c r="AR1" s="1"/>
      <c r="AS1" s="1"/>
      <c r="AT1" s="1"/>
      <c r="AU1" s="1"/>
      <c r="AV1" s="1"/>
      <c r="AW1" s="1"/>
      <c r="AX1" s="1"/>
      <c r="AY1" s="1"/>
      <c r="AZ1" s="1"/>
      <c r="BA1" s="1"/>
      <c r="BB1" s="1"/>
      <c r="BC1" s="1"/>
      <c r="BD1" s="1"/>
      <c r="BE1" s="1"/>
      <c r="BF1" s="1"/>
    </row>
    <row r="2" spans="1:58">
      <c r="A2" s="151"/>
      <c r="B2" s="11" t="s">
        <v>122</v>
      </c>
      <c r="C2" s="11" t="s">
        <v>127</v>
      </c>
      <c r="D2" s="11" t="s">
        <v>122</v>
      </c>
      <c r="E2" s="11" t="s">
        <v>127</v>
      </c>
      <c r="F2" s="11" t="s">
        <v>122</v>
      </c>
      <c r="G2" s="11" t="s">
        <v>127</v>
      </c>
      <c r="H2" s="1"/>
      <c r="I2" s="1"/>
      <c r="J2" s="1"/>
      <c r="K2" s="1"/>
      <c r="L2" s="1"/>
      <c r="M2" s="1"/>
      <c r="N2" s="1"/>
      <c r="O2" s="1"/>
      <c r="P2" s="1"/>
      <c r="Q2" s="1"/>
      <c r="R2" s="1"/>
      <c r="S2" s="1"/>
      <c r="T2" s="1"/>
      <c r="U2" s="1"/>
      <c r="V2" s="1"/>
      <c r="W2" s="1"/>
      <c r="X2" s="1"/>
      <c r="Y2" s="1"/>
      <c r="Z2" s="1"/>
      <c r="AA2" s="1"/>
      <c r="AB2" s="1"/>
      <c r="AC2" s="7" t="s">
        <v>4</v>
      </c>
      <c r="AD2" s="7">
        <v>4.6257316861604245</v>
      </c>
      <c r="AE2" s="7">
        <v>5.3294421756428596</v>
      </c>
      <c r="AF2" s="7">
        <v>4.995635243586543</v>
      </c>
      <c r="AG2" s="1"/>
      <c r="AH2" s="1"/>
      <c r="AI2" s="1"/>
      <c r="AJ2" s="1"/>
      <c r="AK2" s="1"/>
      <c r="AL2" s="1"/>
      <c r="AM2" s="1"/>
      <c r="AN2" s="1"/>
      <c r="AO2" s="1"/>
      <c r="AP2" s="1"/>
      <c r="AQ2" s="1"/>
      <c r="AR2" s="1"/>
      <c r="AS2" s="1"/>
      <c r="AT2" s="1"/>
      <c r="AU2" s="1"/>
      <c r="AV2" s="1"/>
      <c r="AW2" s="1"/>
      <c r="AX2" s="1"/>
      <c r="AY2" s="1"/>
      <c r="AZ2" s="1"/>
      <c r="BA2" s="1"/>
      <c r="BB2" s="1"/>
      <c r="BC2" s="1"/>
      <c r="BD2" s="1"/>
      <c r="BE2" s="1"/>
      <c r="BF2" s="1"/>
    </row>
    <row r="3" spans="1:58">
      <c r="A3" s="7" t="s">
        <v>4</v>
      </c>
      <c r="B3" s="7">
        <v>502.63172442266045</v>
      </c>
      <c r="C3" s="7">
        <v>108.65993934029245</v>
      </c>
      <c r="D3" s="7">
        <v>491.36002524263733</v>
      </c>
      <c r="E3" s="7">
        <v>92.197271130607106</v>
      </c>
      <c r="F3" s="7">
        <v>502.96456288243826</v>
      </c>
      <c r="G3" s="7">
        <v>100.68080201174621</v>
      </c>
      <c r="H3" s="1"/>
      <c r="I3" s="1"/>
      <c r="J3" s="1"/>
      <c r="K3" s="1"/>
      <c r="L3" s="1"/>
      <c r="M3" s="1"/>
      <c r="N3" s="1"/>
      <c r="O3" s="1"/>
      <c r="P3" s="1"/>
      <c r="Q3" s="1"/>
      <c r="R3" s="1"/>
      <c r="S3" s="1"/>
      <c r="T3" s="1"/>
      <c r="U3" s="1"/>
      <c r="V3" s="1"/>
      <c r="W3" s="1"/>
      <c r="X3" s="1"/>
      <c r="Y3" s="1"/>
      <c r="Z3" s="1"/>
      <c r="AA3" s="1"/>
      <c r="AB3" s="1"/>
      <c r="AC3" s="7" t="s">
        <v>5</v>
      </c>
      <c r="AD3" s="7">
        <v>4.873932998655107</v>
      </c>
      <c r="AE3" s="7">
        <v>5.3364319776947813</v>
      </c>
      <c r="AF3" s="7">
        <v>5.1238207811277334</v>
      </c>
      <c r="AG3" s="1"/>
      <c r="AH3" s="1"/>
      <c r="AI3" s="1"/>
      <c r="AJ3" s="1"/>
      <c r="AK3" s="1"/>
      <c r="AL3" s="1"/>
      <c r="AM3" s="1"/>
      <c r="AN3" s="1"/>
      <c r="AO3" s="1"/>
      <c r="AP3" s="1"/>
      <c r="AQ3" s="1"/>
      <c r="AR3" s="1"/>
      <c r="AS3" s="1"/>
      <c r="AT3" s="1"/>
      <c r="AU3" s="1"/>
      <c r="AV3" s="1"/>
      <c r="AW3" s="1"/>
      <c r="AX3" s="1"/>
      <c r="AY3" s="1"/>
      <c r="AZ3" s="1"/>
      <c r="BA3" s="1"/>
      <c r="BB3" s="1"/>
      <c r="BC3" s="1"/>
      <c r="BD3" s="1"/>
      <c r="BE3" s="1"/>
      <c r="BF3" s="1"/>
    </row>
    <row r="4" spans="1:58">
      <c r="A4" s="7" t="s">
        <v>5</v>
      </c>
      <c r="B4" s="7">
        <v>484.3925685119973</v>
      </c>
      <c r="C4" s="7">
        <v>99.384330610547707</v>
      </c>
      <c r="D4" s="7">
        <v>498.94231379959274</v>
      </c>
      <c r="E4" s="7">
        <v>93.49736226097734</v>
      </c>
      <c r="F4" s="7">
        <v>489.7804395314086</v>
      </c>
      <c r="G4" s="7">
        <v>95.588909224808958</v>
      </c>
      <c r="H4" s="1"/>
      <c r="I4" s="1"/>
      <c r="J4" s="1"/>
      <c r="K4" s="1"/>
      <c r="L4" s="1"/>
      <c r="M4" s="1"/>
      <c r="N4" s="1"/>
      <c r="O4" s="1"/>
      <c r="P4" s="1"/>
      <c r="Q4" s="1"/>
      <c r="R4" s="1"/>
      <c r="S4" s="1"/>
      <c r="T4" s="1"/>
      <c r="U4" s="1"/>
      <c r="V4" s="1"/>
      <c r="W4" s="1"/>
      <c r="X4" s="1"/>
      <c r="Y4" s="1"/>
      <c r="Z4" s="1"/>
      <c r="AA4" s="1"/>
      <c r="AB4" s="1"/>
      <c r="AC4" s="7" t="s">
        <v>6</v>
      </c>
      <c r="AD4" s="7">
        <v>4.804915197583675</v>
      </c>
      <c r="AE4" s="7">
        <v>5.3275503106138551</v>
      </c>
      <c r="AF4" s="7">
        <v>5.0478142806028963</v>
      </c>
      <c r="AG4" s="1"/>
      <c r="AH4" s="1"/>
      <c r="AI4" s="1"/>
      <c r="AJ4" s="1"/>
      <c r="AK4" s="1"/>
      <c r="AL4" s="1"/>
      <c r="AM4" s="1"/>
      <c r="AN4" s="1"/>
      <c r="AO4" s="1"/>
      <c r="AP4" s="1"/>
      <c r="AQ4" s="1"/>
      <c r="AR4" s="1"/>
      <c r="AS4" s="1"/>
      <c r="AT4" s="1"/>
      <c r="AU4" s="1"/>
      <c r="AV4" s="1"/>
      <c r="AW4" s="1"/>
      <c r="AX4" s="1"/>
      <c r="AY4" s="1"/>
      <c r="AZ4" s="1"/>
      <c r="BA4" s="1"/>
      <c r="BB4" s="1"/>
      <c r="BC4" s="1"/>
      <c r="BD4" s="1"/>
      <c r="BE4" s="1"/>
      <c r="BF4" s="1"/>
    </row>
    <row r="5" spans="1:58">
      <c r="A5" s="7" t="s">
        <v>6</v>
      </c>
      <c r="B5" s="7">
        <v>492.86443860384173</v>
      </c>
      <c r="C5" s="7">
        <v>102.57505457155548</v>
      </c>
      <c r="D5" s="7">
        <v>508.07030635647089</v>
      </c>
      <c r="E5" s="7">
        <v>95.366590033746604</v>
      </c>
      <c r="F5" s="7">
        <v>498.77312723921972</v>
      </c>
      <c r="G5" s="7">
        <v>98.809722290267729</v>
      </c>
      <c r="H5" s="1"/>
      <c r="I5" s="1"/>
      <c r="J5" s="1"/>
      <c r="K5" s="1"/>
      <c r="L5" s="1"/>
      <c r="M5" s="1"/>
      <c r="N5" s="1"/>
      <c r="O5" s="1" t="s">
        <v>99</v>
      </c>
      <c r="P5" s="1" t="s">
        <v>100</v>
      </c>
      <c r="Q5" s="1" t="s">
        <v>101</v>
      </c>
      <c r="R5" s="1"/>
      <c r="S5" s="1"/>
      <c r="T5" s="1"/>
      <c r="U5" s="1"/>
      <c r="V5" s="1"/>
      <c r="W5" s="1"/>
      <c r="X5" s="1"/>
      <c r="Y5" s="1"/>
      <c r="Z5" s="1"/>
      <c r="AA5" s="1"/>
      <c r="AB5" s="1"/>
      <c r="AC5" s="7" t="s">
        <v>7</v>
      </c>
      <c r="AD5" s="7">
        <v>5.1854517551826742</v>
      </c>
      <c r="AE5" s="7">
        <v>5.5477073047227075</v>
      </c>
      <c r="AF5" s="7">
        <v>5.4115342224659662</v>
      </c>
      <c r="AG5" s="1"/>
      <c r="AH5" s="1"/>
      <c r="AI5" s="1"/>
      <c r="AJ5" s="1"/>
      <c r="AK5" s="1"/>
      <c r="AL5" s="1"/>
      <c r="AM5" s="1"/>
      <c r="AN5" s="1"/>
      <c r="AO5" s="1"/>
      <c r="AP5" s="1"/>
      <c r="AQ5" s="1"/>
      <c r="AR5" s="1"/>
      <c r="AS5" s="1"/>
      <c r="AT5" s="1"/>
      <c r="AU5" s="1"/>
      <c r="AV5" s="1"/>
      <c r="AW5" s="1"/>
      <c r="AX5" s="1"/>
      <c r="AY5" s="1"/>
      <c r="AZ5" s="1"/>
      <c r="BA5" s="1"/>
      <c r="BB5" s="1"/>
      <c r="BC5" s="1"/>
      <c r="BD5" s="1"/>
      <c r="BE5" s="1"/>
      <c r="BF5" s="1"/>
    </row>
    <row r="6" spans="1:58">
      <c r="A6" s="7" t="s">
        <v>7</v>
      </c>
      <c r="B6" s="7">
        <v>520.08552092652087</v>
      </c>
      <c r="C6" s="7">
        <v>100.2970513430607</v>
      </c>
      <c r="D6" s="7">
        <v>512.01694282393089</v>
      </c>
      <c r="E6" s="7">
        <v>92.29343126809448</v>
      </c>
      <c r="F6" s="7">
        <v>517.99766075566959</v>
      </c>
      <c r="G6" s="7">
        <v>95.721035747164649</v>
      </c>
      <c r="H6" s="1"/>
      <c r="I6" s="1"/>
      <c r="J6" s="1"/>
      <c r="K6" s="1"/>
      <c r="L6" s="1"/>
      <c r="M6" s="1"/>
      <c r="N6" s="1" t="s">
        <v>10</v>
      </c>
      <c r="O6" s="10">
        <f>VLOOKUP($N$6,$A$3:$G$80,2,0)</f>
        <v>490.21881502637234</v>
      </c>
      <c r="P6" s="10">
        <f>VLOOKUP($N$6,$A$3:$G$80,4,0)</f>
        <v>499.4676509062466</v>
      </c>
      <c r="Q6" s="10">
        <f>VLOOKUP($N$6,$A$3:$G$80,6,0)</f>
        <v>496.79131065623119</v>
      </c>
      <c r="R6" s="1"/>
      <c r="S6" s="1"/>
      <c r="T6" s="1"/>
      <c r="U6" s="1"/>
      <c r="V6" s="1"/>
      <c r="W6" s="1"/>
      <c r="X6" s="1"/>
      <c r="Y6" s="1"/>
      <c r="Z6" s="1"/>
      <c r="AA6" s="1"/>
      <c r="AB6" s="1"/>
      <c r="AC6" s="7" t="s">
        <v>8</v>
      </c>
      <c r="AD6" s="7">
        <v>4.915058170173694</v>
      </c>
      <c r="AE6" s="7">
        <v>4.9325648103830577</v>
      </c>
      <c r="AF6" s="7">
        <v>5.3133793298212737</v>
      </c>
      <c r="AG6" s="1"/>
      <c r="AH6" s="1"/>
      <c r="AI6" s="1"/>
      <c r="AJ6" s="1"/>
      <c r="AK6" s="1"/>
      <c r="AL6" s="1"/>
      <c r="AM6" s="1"/>
      <c r="AN6" s="1"/>
      <c r="AO6" s="1"/>
      <c r="AP6" s="1"/>
      <c r="AQ6" s="1"/>
      <c r="AR6" s="1"/>
      <c r="AS6" s="1"/>
      <c r="AT6" s="1"/>
      <c r="AU6" s="1"/>
      <c r="AV6" s="1"/>
      <c r="AW6" s="1"/>
      <c r="AX6" s="1"/>
      <c r="AY6" s="1"/>
      <c r="AZ6" s="1"/>
      <c r="BA6" s="1"/>
      <c r="BB6" s="1"/>
      <c r="BC6" s="1"/>
      <c r="BD6" s="1"/>
      <c r="BE6" s="1"/>
      <c r="BF6" s="1"/>
    </row>
    <row r="7" spans="1:58">
      <c r="A7" s="7" t="s">
        <v>8</v>
      </c>
      <c r="B7" s="7">
        <v>452.27255409198017</v>
      </c>
      <c r="C7" s="7">
        <v>92.017741892970776</v>
      </c>
      <c r="D7" s="7">
        <v>417.40655623356497</v>
      </c>
      <c r="E7" s="7">
        <v>84.622619728163215</v>
      </c>
      <c r="F7" s="7">
        <v>443.58256338766546</v>
      </c>
      <c r="G7" s="7">
        <v>83.484075924725346</v>
      </c>
      <c r="H7" s="1"/>
      <c r="I7" s="1"/>
      <c r="J7" s="1"/>
      <c r="K7" s="1"/>
      <c r="L7" s="1"/>
      <c r="M7" s="1"/>
      <c r="N7" s="1"/>
      <c r="O7" s="1"/>
      <c r="P7" s="1"/>
      <c r="Q7" s="1"/>
      <c r="R7" s="1"/>
      <c r="S7" s="1"/>
      <c r="T7" s="1"/>
      <c r="U7" s="1"/>
      <c r="V7" s="1"/>
      <c r="W7" s="1"/>
      <c r="X7" s="1"/>
      <c r="Y7" s="1"/>
      <c r="Z7" s="1"/>
      <c r="AA7" s="1"/>
      <c r="AB7" s="1"/>
      <c r="AC7" s="7" t="s">
        <v>9</v>
      </c>
      <c r="AD7" s="7">
        <v>4.6499764047790579</v>
      </c>
      <c r="AE7" s="7">
        <v>4.8144132215150774</v>
      </c>
      <c r="AF7" s="7">
        <v>5.0411538212375948</v>
      </c>
      <c r="AG7" s="1"/>
      <c r="AH7" s="1"/>
      <c r="AI7" s="1"/>
      <c r="AJ7" s="1"/>
      <c r="AK7" s="1"/>
      <c r="AL7" s="1"/>
      <c r="AM7" s="1"/>
      <c r="AN7" s="1"/>
      <c r="AO7" s="1"/>
      <c r="AP7" s="1"/>
      <c r="AQ7" s="1"/>
      <c r="AR7" s="1"/>
      <c r="AS7" s="1"/>
      <c r="AT7" s="1"/>
      <c r="AU7" s="1"/>
      <c r="AV7" s="1"/>
      <c r="AW7" s="1"/>
      <c r="AX7" s="1"/>
      <c r="AY7" s="1"/>
      <c r="AZ7" s="1"/>
      <c r="BA7" s="1"/>
      <c r="BB7" s="1"/>
      <c r="BC7" s="1"/>
      <c r="BD7" s="1"/>
      <c r="BE7" s="1"/>
      <c r="BF7" s="1"/>
    </row>
    <row r="8" spans="1:58">
      <c r="A8" s="7" t="s">
        <v>9</v>
      </c>
      <c r="B8" s="7">
        <v>412.29508567556314</v>
      </c>
      <c r="C8" s="7">
        <v>88.666059735662941</v>
      </c>
      <c r="D8" s="7">
        <v>390.93227374034632</v>
      </c>
      <c r="E8" s="7">
        <v>81.20039883434049</v>
      </c>
      <c r="F8" s="7">
        <v>413.32299297387709</v>
      </c>
      <c r="G8" s="7">
        <v>81.989760207794447</v>
      </c>
      <c r="H8" s="1"/>
      <c r="I8" s="1"/>
      <c r="J8" s="1"/>
      <c r="K8" s="1"/>
      <c r="L8" s="1"/>
      <c r="M8" s="1"/>
      <c r="N8" s="1"/>
      <c r="O8" s="1"/>
      <c r="P8" s="1"/>
      <c r="Q8" s="1"/>
      <c r="R8" s="1"/>
      <c r="S8" s="1"/>
      <c r="T8" s="1"/>
      <c r="U8" s="1"/>
      <c r="V8" s="1"/>
      <c r="W8" s="1"/>
      <c r="X8" s="1"/>
      <c r="Y8" s="1"/>
      <c r="Z8" s="1"/>
      <c r="AA8" s="1"/>
      <c r="AB8" s="1"/>
      <c r="AC8" s="7" t="s">
        <v>10</v>
      </c>
      <c r="AD8" s="7">
        <v>5.0366744079961245</v>
      </c>
      <c r="AE8" s="7">
        <v>5.3610631600361138</v>
      </c>
      <c r="AF8" s="7">
        <v>5.2575234878965951</v>
      </c>
      <c r="AG8" s="1"/>
      <c r="AH8" s="1"/>
      <c r="AI8" s="1"/>
      <c r="AJ8" s="1"/>
      <c r="AK8" s="1"/>
      <c r="AL8" s="1"/>
      <c r="AM8" s="1"/>
      <c r="AN8" s="1"/>
      <c r="AO8" s="1"/>
      <c r="AP8" s="1"/>
      <c r="AQ8" s="1"/>
      <c r="AR8" s="1"/>
      <c r="AS8" s="1"/>
      <c r="AT8" s="1"/>
      <c r="AU8" s="1"/>
      <c r="AV8" s="1"/>
      <c r="AW8" s="1"/>
      <c r="AX8" s="1"/>
      <c r="AY8" s="1"/>
      <c r="AZ8" s="1"/>
      <c r="BA8" s="1"/>
      <c r="BB8" s="1"/>
      <c r="BC8" s="1"/>
      <c r="BD8" s="1"/>
      <c r="BE8" s="1"/>
      <c r="BF8" s="1"/>
    </row>
    <row r="9" spans="1:58">
      <c r="A9" s="7" t="s">
        <v>10</v>
      </c>
      <c r="B9" s="7">
        <v>490.21881502637234</v>
      </c>
      <c r="C9" s="7">
        <v>97.329860006060883</v>
      </c>
      <c r="D9" s="7">
        <v>499.4676509062466</v>
      </c>
      <c r="E9" s="7">
        <v>93.165783725420994</v>
      </c>
      <c r="F9" s="7">
        <v>496.79131065623119</v>
      </c>
      <c r="G9" s="7">
        <v>94.491505706042048</v>
      </c>
      <c r="H9" s="1"/>
      <c r="I9" s="1"/>
      <c r="J9" s="1"/>
      <c r="K9" s="1"/>
      <c r="L9" s="1"/>
      <c r="M9" s="1"/>
      <c r="N9" s="1"/>
      <c r="O9" s="1"/>
      <c r="P9" s="1"/>
      <c r="Q9" s="1"/>
      <c r="R9" s="1"/>
      <c r="S9" s="1"/>
      <c r="T9" s="1"/>
      <c r="U9" s="1"/>
      <c r="V9" s="1"/>
      <c r="W9" s="1"/>
      <c r="X9" s="1"/>
      <c r="Y9" s="1"/>
      <c r="Z9" s="1"/>
      <c r="AA9" s="1"/>
      <c r="AB9" s="1"/>
      <c r="AC9" s="7" t="s">
        <v>11</v>
      </c>
      <c r="AD9" s="7">
        <v>5.441468885396799</v>
      </c>
      <c r="AE9" s="7">
        <v>6.1786902382674809</v>
      </c>
      <c r="AF9" s="7">
        <v>5.3863098550879078</v>
      </c>
      <c r="AG9" s="1"/>
      <c r="AH9" s="1"/>
      <c r="AI9" s="1"/>
      <c r="AJ9" s="1"/>
      <c r="AK9" s="1"/>
      <c r="AL9" s="1"/>
      <c r="AM9" s="1"/>
      <c r="AN9" s="1"/>
      <c r="AO9" s="1"/>
      <c r="AP9" s="1"/>
      <c r="AQ9" s="1"/>
      <c r="AR9" s="1"/>
      <c r="AS9" s="1"/>
      <c r="AT9" s="1"/>
      <c r="AU9" s="1"/>
      <c r="AV9" s="1"/>
      <c r="AW9" s="1"/>
      <c r="AX9" s="1"/>
      <c r="AY9" s="1"/>
      <c r="AZ9" s="1"/>
      <c r="BA9" s="1"/>
      <c r="BB9" s="1"/>
      <c r="BC9" s="1"/>
      <c r="BD9" s="1"/>
      <c r="BE9" s="1"/>
      <c r="BF9" s="1"/>
    </row>
    <row r="10" spans="1:58">
      <c r="A10" s="7" t="s">
        <v>11</v>
      </c>
      <c r="B10" s="7">
        <v>501.12993377404803</v>
      </c>
      <c r="C10" s="7">
        <v>92.09460613087839</v>
      </c>
      <c r="D10" s="7">
        <v>509.39837450250388</v>
      </c>
      <c r="E10" s="7">
        <v>82.444394339040429</v>
      </c>
      <c r="F10" s="7">
        <v>492.63703335097438</v>
      </c>
      <c r="G10" s="7">
        <v>91.460953158056711</v>
      </c>
      <c r="H10" s="1"/>
      <c r="I10" s="1"/>
      <c r="J10" s="1"/>
      <c r="K10" s="1"/>
      <c r="L10" s="1"/>
      <c r="M10" s="1"/>
      <c r="N10" s="1"/>
      <c r="O10" s="1"/>
      <c r="P10" s="1"/>
      <c r="Q10" s="1"/>
      <c r="R10" s="1"/>
      <c r="S10" s="1"/>
      <c r="T10" s="1"/>
      <c r="U10" s="1"/>
      <c r="V10" s="1"/>
      <c r="W10" s="1"/>
      <c r="X10" s="1"/>
      <c r="Y10" s="1"/>
      <c r="Z10" s="1"/>
      <c r="AA10" s="1"/>
      <c r="AB10" s="1"/>
      <c r="AC10" s="7" t="s">
        <v>12</v>
      </c>
      <c r="AD10" s="7">
        <v>5.6111197178362611</v>
      </c>
      <c r="AE10" s="7">
        <v>6.4115575904152546</v>
      </c>
      <c r="AF10" s="7">
        <v>6.0342803982818918</v>
      </c>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row>
    <row r="11" spans="1:58">
      <c r="A11" s="7" t="s">
        <v>12</v>
      </c>
      <c r="B11" s="7">
        <v>523.01701842526472</v>
      </c>
      <c r="C11" s="7">
        <v>93.210810805325067</v>
      </c>
      <c r="D11" s="7">
        <v>523.41458013492047</v>
      </c>
      <c r="E11" s="7">
        <v>81.636103669626507</v>
      </c>
      <c r="F11" s="7">
        <v>530.10800462174336</v>
      </c>
      <c r="G11" s="7">
        <v>87.849415279521679</v>
      </c>
      <c r="H11" s="1"/>
      <c r="I11" s="1"/>
      <c r="J11" s="1"/>
      <c r="K11" s="1"/>
      <c r="L11" s="1"/>
      <c r="M11" s="1"/>
      <c r="N11" s="1"/>
      <c r="O11" s="1"/>
      <c r="P11" s="1"/>
      <c r="Q11" s="1"/>
      <c r="R11" s="1"/>
      <c r="S11" s="1"/>
      <c r="T11" s="1"/>
      <c r="U11" s="1"/>
      <c r="V11" s="1"/>
      <c r="W11" s="1"/>
      <c r="X11" s="1"/>
      <c r="Y11" s="1"/>
      <c r="Z11" s="1"/>
      <c r="AA11" s="1"/>
      <c r="AB11" s="1"/>
      <c r="AC11" s="7" t="s">
        <v>13</v>
      </c>
      <c r="AD11" s="7">
        <v>5.2241504618765591</v>
      </c>
      <c r="AE11" s="7">
        <v>6.1556203502297171</v>
      </c>
      <c r="AF11" s="7">
        <v>5.4131990472841212</v>
      </c>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row>
    <row r="12" spans="1:58">
      <c r="A12" s="7" t="s">
        <v>13</v>
      </c>
      <c r="B12" s="7">
        <v>520.07874831668892</v>
      </c>
      <c r="C12" s="7">
        <v>99.552788938983241</v>
      </c>
      <c r="D12" s="7">
        <v>507.30136181814419</v>
      </c>
      <c r="E12" s="7">
        <v>82.41271114116266</v>
      </c>
      <c r="F12" s="7">
        <v>521.88456314353959</v>
      </c>
      <c r="G12" s="7">
        <v>96.409638475307219</v>
      </c>
      <c r="H12" s="1"/>
      <c r="I12" s="1"/>
      <c r="J12" s="1"/>
      <c r="K12" s="1"/>
      <c r="L12" s="1"/>
      <c r="M12" s="1"/>
      <c r="N12" s="1"/>
      <c r="O12" s="1"/>
      <c r="P12" s="1"/>
      <c r="Q12" s="1"/>
      <c r="R12" s="1"/>
      <c r="S12" s="1"/>
      <c r="T12" s="1"/>
      <c r="U12" s="1"/>
      <c r="V12" s="1"/>
      <c r="W12" s="1"/>
      <c r="X12" s="1"/>
      <c r="Y12" s="1"/>
      <c r="Z12" s="1"/>
      <c r="AA12" s="1"/>
      <c r="AB12" s="1"/>
      <c r="AC12" s="7" t="s">
        <v>14</v>
      </c>
      <c r="AD12" s="7">
        <v>4.8688561585710675</v>
      </c>
      <c r="AE12" s="7">
        <v>5.3518335440551965</v>
      </c>
      <c r="AF12" s="7">
        <v>5.134948458007937</v>
      </c>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row>
    <row r="13" spans="1:58">
      <c r="A13" s="7" t="s">
        <v>14</v>
      </c>
      <c r="B13" s="7">
        <v>492.60648133455328</v>
      </c>
      <c r="C13" s="7">
        <v>101.17499168000181</v>
      </c>
      <c r="D13" s="7">
        <v>495.40758144403202</v>
      </c>
      <c r="E13" s="7">
        <v>92.567823226551866</v>
      </c>
      <c r="F13" s="7">
        <v>492.9770760583545</v>
      </c>
      <c r="G13" s="7">
        <v>96.004289057577239</v>
      </c>
      <c r="H13" s="1"/>
      <c r="I13" s="1"/>
      <c r="J13" s="1"/>
      <c r="K13" s="1"/>
      <c r="L13" s="1"/>
      <c r="M13" s="1"/>
      <c r="N13" s="1"/>
      <c r="O13" s="1"/>
      <c r="P13" s="1"/>
      <c r="Q13" s="1"/>
      <c r="R13" s="1"/>
      <c r="S13" s="1"/>
      <c r="T13" s="1"/>
      <c r="U13" s="1"/>
      <c r="V13" s="1"/>
      <c r="W13" s="1"/>
      <c r="X13" s="1"/>
      <c r="Y13" s="1"/>
      <c r="Z13" s="1"/>
      <c r="AA13" s="1"/>
      <c r="AB13" s="1"/>
      <c r="AC13" s="7" t="s">
        <v>15</v>
      </c>
      <c r="AD13" s="7">
        <v>4.7119375260103853</v>
      </c>
      <c r="AE13" s="7">
        <v>5.2420786484312716</v>
      </c>
      <c r="AF13" s="7">
        <v>4.8901870020490037</v>
      </c>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row>
    <row r="14" spans="1:58">
      <c r="A14" s="7" t="s">
        <v>15</v>
      </c>
      <c r="B14" s="7">
        <v>498.27925642959156</v>
      </c>
      <c r="C14" s="7">
        <v>105.74827312099072</v>
      </c>
      <c r="D14" s="7">
        <v>500.04378016676566</v>
      </c>
      <c r="E14" s="7">
        <v>95.390362049681812</v>
      </c>
      <c r="F14" s="7">
        <v>502.98890282349976</v>
      </c>
      <c r="G14" s="7">
        <v>102.85678290272864</v>
      </c>
      <c r="H14" s="1"/>
      <c r="I14" s="1"/>
      <c r="J14" s="1"/>
      <c r="K14" s="1"/>
      <c r="L14" s="1"/>
      <c r="M14" s="1"/>
      <c r="N14" s="1"/>
      <c r="O14" s="1"/>
      <c r="P14" s="1"/>
      <c r="Q14" s="1"/>
      <c r="R14" s="1"/>
      <c r="S14" s="1"/>
      <c r="T14" s="1"/>
      <c r="U14" s="1"/>
      <c r="V14" s="1"/>
      <c r="W14" s="1"/>
      <c r="X14" s="1"/>
      <c r="Y14" s="1"/>
      <c r="Z14" s="1"/>
      <c r="AA14" s="1"/>
      <c r="AB14" s="1"/>
      <c r="AC14" s="7" t="s">
        <v>16</v>
      </c>
      <c r="AD14" s="7">
        <v>4.6952047971797208</v>
      </c>
      <c r="AE14" s="7">
        <v>5.0581638734936076</v>
      </c>
      <c r="AF14" s="7">
        <v>5.2581187483150105</v>
      </c>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row>
    <row r="15" spans="1:58">
      <c r="A15" s="7" t="s">
        <v>16</v>
      </c>
      <c r="B15" s="7">
        <v>457.41439470369306</v>
      </c>
      <c r="C15" s="7">
        <v>97.421606609886155</v>
      </c>
      <c r="D15" s="7">
        <v>451.37034377028198</v>
      </c>
      <c r="E15" s="7">
        <v>89.236006396630714</v>
      </c>
      <c r="F15" s="7">
        <v>451.63274164662926</v>
      </c>
      <c r="G15" s="7">
        <v>85.892457600231481</v>
      </c>
      <c r="H15" s="1"/>
      <c r="I15" s="1"/>
      <c r="J15" s="1"/>
      <c r="K15" s="1"/>
      <c r="L15" s="1"/>
      <c r="M15" s="1"/>
      <c r="N15" s="1"/>
      <c r="O15" s="1"/>
      <c r="P15" s="1"/>
      <c r="Q15" s="1"/>
      <c r="R15" s="1"/>
      <c r="S15" s="1"/>
      <c r="T15" s="1"/>
      <c r="U15" s="1"/>
      <c r="V15" s="1"/>
      <c r="W15" s="1"/>
      <c r="X15" s="1"/>
      <c r="Y15" s="1"/>
      <c r="Z15" s="1"/>
      <c r="AA15" s="1"/>
      <c r="AB15" s="1"/>
      <c r="AC15" s="7" t="s">
        <v>17</v>
      </c>
      <c r="AD15" s="7">
        <v>4.8777484856059878</v>
      </c>
      <c r="AE15" s="7">
        <v>5.2782917105068643</v>
      </c>
      <c r="AF15" s="7">
        <v>5.1239144194003847</v>
      </c>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row>
    <row r="16" spans="1:58">
      <c r="A16" s="7" t="s">
        <v>17</v>
      </c>
      <c r="B16" s="7">
        <v>475.98667224503328</v>
      </c>
      <c r="C16" s="7">
        <v>97.583275080633641</v>
      </c>
      <c r="D16" s="7">
        <v>481.082636356244</v>
      </c>
      <c r="E16" s="7">
        <v>91.143624252257652</v>
      </c>
      <c r="F16" s="7">
        <v>480.9116938822861</v>
      </c>
      <c r="G16" s="7">
        <v>93.856308774681636</v>
      </c>
      <c r="H16" s="1"/>
      <c r="I16" s="1"/>
      <c r="J16" s="1"/>
      <c r="K16" s="1"/>
      <c r="L16" s="1"/>
      <c r="M16" s="1"/>
      <c r="N16" s="1"/>
      <c r="O16" s="1"/>
      <c r="P16" s="1"/>
      <c r="Q16" s="1"/>
      <c r="R16" s="1"/>
      <c r="S16" s="1"/>
      <c r="T16" s="1"/>
      <c r="U16" s="1"/>
      <c r="V16" s="1"/>
      <c r="W16" s="1"/>
      <c r="X16" s="1"/>
      <c r="Y16" s="1"/>
      <c r="Z16" s="1"/>
      <c r="AA16" s="1"/>
      <c r="AB16" s="1"/>
      <c r="AC16" s="7" t="s">
        <v>18</v>
      </c>
      <c r="AD16" s="7">
        <v>4.5262124123715761</v>
      </c>
      <c r="AE16" s="7">
        <v>5.4926346445603382</v>
      </c>
      <c r="AF16" s="7">
        <v>5.2137688743024153</v>
      </c>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row>
    <row r="17" spans="1:58">
      <c r="A17" s="7" t="s">
        <v>18</v>
      </c>
      <c r="B17" s="7">
        <v>473.9743167673447</v>
      </c>
      <c r="C17" s="7">
        <v>104.71764768967147</v>
      </c>
      <c r="D17" s="7">
        <v>495.18737617387626</v>
      </c>
      <c r="E17" s="7">
        <v>90.15479969422104</v>
      </c>
      <c r="F17" s="7">
        <v>475.02410633375797</v>
      </c>
      <c r="G17" s="7">
        <v>91.109544321201724</v>
      </c>
      <c r="H17" s="1"/>
      <c r="I17" s="1"/>
      <c r="J17" s="1"/>
      <c r="K17" s="1"/>
      <c r="L17" s="1"/>
      <c r="M17" s="1"/>
      <c r="N17" s="1"/>
      <c r="O17" s="1"/>
      <c r="P17" s="1"/>
      <c r="Q17" s="1"/>
      <c r="R17" s="1"/>
      <c r="S17" s="1"/>
      <c r="T17" s="1"/>
      <c r="U17" s="1"/>
      <c r="V17" s="1"/>
      <c r="W17" s="1"/>
      <c r="X17" s="1"/>
      <c r="Y17" s="1"/>
      <c r="Z17" s="1"/>
      <c r="AA17" s="1"/>
      <c r="AB17" s="1"/>
      <c r="AC17" s="7" t="s">
        <v>19</v>
      </c>
      <c r="AD17" s="7">
        <v>5.7117602848743942</v>
      </c>
      <c r="AE17" s="7">
        <v>6.4253057332244934</v>
      </c>
      <c r="AF17" s="7">
        <v>5.6211365078460993</v>
      </c>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row>
    <row r="18" spans="1:58">
      <c r="A18" s="7" t="s">
        <v>19</v>
      </c>
      <c r="B18" s="7">
        <v>518.07845911939353</v>
      </c>
      <c r="C18" s="7">
        <v>90.70381691110947</v>
      </c>
      <c r="D18" s="7">
        <v>499.63289403766771</v>
      </c>
      <c r="E18" s="7">
        <v>77.760174345342875</v>
      </c>
      <c r="F18" s="7">
        <v>496.11356187258372</v>
      </c>
      <c r="G18" s="7">
        <v>88.258586351727644</v>
      </c>
      <c r="H18" s="1"/>
      <c r="I18" s="1"/>
      <c r="J18" s="1"/>
      <c r="K18" s="1"/>
      <c r="L18" s="1"/>
      <c r="M18" s="1"/>
      <c r="N18" s="1"/>
      <c r="O18" s="1"/>
      <c r="P18" s="1"/>
      <c r="Q18" s="1"/>
      <c r="R18" s="1"/>
      <c r="S18" s="1"/>
      <c r="T18" s="1"/>
      <c r="U18" s="1"/>
      <c r="V18" s="1"/>
      <c r="W18" s="1"/>
      <c r="X18" s="1"/>
      <c r="Y18" s="1"/>
      <c r="Z18" s="1"/>
      <c r="AA18" s="1"/>
      <c r="AB18" s="1"/>
      <c r="AC18" s="7" t="s">
        <v>20</v>
      </c>
      <c r="AD18" s="7">
        <v>3.779633745791211</v>
      </c>
      <c r="AE18" s="7">
        <v>4.2678643508642962</v>
      </c>
      <c r="AF18" s="7">
        <v>4.170586089394531</v>
      </c>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row>
    <row r="19" spans="1:58">
      <c r="A19" s="7" t="s">
        <v>20</v>
      </c>
      <c r="B19" s="7">
        <v>470.41517797924456</v>
      </c>
      <c r="C19" s="7">
        <v>124.46051909211378</v>
      </c>
      <c r="D19" s="7">
        <v>463.03454892045522</v>
      </c>
      <c r="E19" s="7">
        <v>108.49326755820739</v>
      </c>
      <c r="F19" s="7">
        <v>462.19663275373335</v>
      </c>
      <c r="G19" s="7">
        <v>110.82294498825061</v>
      </c>
      <c r="H19" s="1"/>
      <c r="I19" s="1"/>
      <c r="J19" s="1"/>
      <c r="K19" s="1"/>
      <c r="L19" s="1"/>
      <c r="M19" s="1"/>
      <c r="N19" s="1"/>
      <c r="O19" s="1"/>
      <c r="P19" s="1"/>
      <c r="Q19" s="1"/>
      <c r="R19" s="1"/>
      <c r="S19" s="1"/>
      <c r="T19" s="1"/>
      <c r="U19" s="1"/>
      <c r="V19" s="1"/>
      <c r="W19" s="1"/>
      <c r="X19" s="1"/>
      <c r="Y19" s="1"/>
      <c r="Z19" s="1"/>
      <c r="AA19" s="1"/>
      <c r="AB19" s="1"/>
      <c r="AC19" s="7" t="s">
        <v>21</v>
      </c>
      <c r="AD19" s="7">
        <v>4.916867143114044</v>
      </c>
      <c r="AE19" s="7">
        <v>5.1887844242211525</v>
      </c>
      <c r="AF19" s="7">
        <v>5.1946279658454744</v>
      </c>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row>
    <row r="20" spans="1:58">
      <c r="A20" s="7" t="s">
        <v>21</v>
      </c>
      <c r="B20" s="7">
        <v>476.28467969266717</v>
      </c>
      <c r="C20" s="7">
        <v>96.867510516262897</v>
      </c>
      <c r="D20" s="7">
        <v>486.58985801290993</v>
      </c>
      <c r="E20" s="7">
        <v>93.777235327318124</v>
      </c>
      <c r="F20" s="7">
        <v>468.01172789151281</v>
      </c>
      <c r="G20" s="7">
        <v>90.095331363222954</v>
      </c>
      <c r="H20" s="1"/>
      <c r="I20" s="1"/>
      <c r="J20" s="1"/>
      <c r="K20" s="1"/>
      <c r="L20" s="1"/>
      <c r="M20" s="1"/>
      <c r="N20" s="1"/>
      <c r="O20" s="1"/>
      <c r="P20" s="1"/>
      <c r="Q20" s="1"/>
      <c r="R20" s="1"/>
      <c r="S20" s="1"/>
      <c r="T20" s="1"/>
      <c r="U20" s="1"/>
      <c r="V20" s="1"/>
      <c r="W20" s="1"/>
      <c r="X20" s="1"/>
      <c r="Y20" s="1"/>
      <c r="Z20" s="1"/>
      <c r="AA20" s="1"/>
      <c r="AB20" s="1"/>
      <c r="AC20" s="7" t="s">
        <v>22</v>
      </c>
      <c r="AD20" s="7">
        <v>5.1879171652261444</v>
      </c>
      <c r="AE20" s="7">
        <v>6.0944572362907454</v>
      </c>
      <c r="AF20" s="7">
        <v>5.7471466530960527</v>
      </c>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row>
    <row r="21" spans="1:58" ht="14.4" customHeight="1">
      <c r="A21" s="7" t="s">
        <v>22</v>
      </c>
      <c r="B21" s="7">
        <v>503.85604130918574</v>
      </c>
      <c r="C21" s="7">
        <v>97.121065210227258</v>
      </c>
      <c r="D21" s="7">
        <v>526.97325049698168</v>
      </c>
      <c r="E21" s="7">
        <v>86.467626248816231</v>
      </c>
      <c r="F21" s="7">
        <v>529.13543377082146</v>
      </c>
      <c r="G21" s="7">
        <v>92.069241609794361</v>
      </c>
      <c r="H21" s="1"/>
      <c r="I21" s="1"/>
      <c r="J21" s="1"/>
      <c r="K21" s="1"/>
      <c r="L21" s="1"/>
      <c r="M21" s="1"/>
      <c r="N21" s="1"/>
      <c r="O21" s="1"/>
      <c r="P21" s="1"/>
      <c r="Q21" s="1"/>
      <c r="R21" s="1"/>
      <c r="S21" s="1"/>
      <c r="T21" s="1"/>
      <c r="U21" s="1"/>
      <c r="V21" s="1"/>
      <c r="W21" s="1"/>
      <c r="X21" s="1"/>
      <c r="Y21" s="1"/>
      <c r="Z21" s="1"/>
      <c r="AA21" s="1"/>
      <c r="AB21" s="1"/>
      <c r="AC21" s="7" t="s">
        <v>23</v>
      </c>
      <c r="AD21" s="7">
        <v>5.0396028490556848</v>
      </c>
      <c r="AE21" s="7">
        <v>5.2389444607436397</v>
      </c>
      <c r="AF21" s="7">
        <v>5.3040942842199916</v>
      </c>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row>
    <row r="22" spans="1:58">
      <c r="A22" s="7" t="s">
        <v>23</v>
      </c>
      <c r="B22" s="7">
        <v>514.05228795826918</v>
      </c>
      <c r="C22" s="7">
        <v>102.00253935775747</v>
      </c>
      <c r="D22" s="7">
        <v>525.93300185889268</v>
      </c>
      <c r="E22" s="7">
        <v>100.38911574646457</v>
      </c>
      <c r="F22" s="7">
        <v>519.00725458120428</v>
      </c>
      <c r="G22" s="7">
        <v>97.850307096780497</v>
      </c>
      <c r="H22" s="1"/>
      <c r="I22" s="1"/>
      <c r="J22" s="1"/>
      <c r="K22" s="1"/>
      <c r="L22" s="1"/>
      <c r="M22" s="1"/>
      <c r="N22" s="1"/>
      <c r="O22" s="1"/>
      <c r="P22" s="1"/>
      <c r="Q22" s="1"/>
      <c r="R22" s="1"/>
      <c r="S22" s="1"/>
      <c r="T22" s="1"/>
      <c r="U22" s="1"/>
      <c r="V22" s="1"/>
      <c r="W22" s="1"/>
      <c r="X22" s="1"/>
      <c r="Y22" s="1"/>
      <c r="Z22" s="1"/>
      <c r="AA22" s="1"/>
      <c r="AB22" s="1"/>
      <c r="AC22" s="7" t="s">
        <v>24</v>
      </c>
      <c r="AD22" s="7">
        <v>5.3171617809627278</v>
      </c>
      <c r="AE22" s="7">
        <v>6.1745681982689993</v>
      </c>
      <c r="AF22" s="7">
        <v>5.7830981206410392</v>
      </c>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row>
    <row r="23" spans="1:58">
      <c r="A23" s="7" t="s">
        <v>24</v>
      </c>
      <c r="B23" s="7">
        <v>478.6986741450462</v>
      </c>
      <c r="C23" s="7">
        <v>90.028984233459369</v>
      </c>
      <c r="D23" s="7">
        <v>496.12633069612497</v>
      </c>
      <c r="E23" s="7">
        <v>80.349963716525281</v>
      </c>
      <c r="F23" s="7">
        <v>487.25058835762195</v>
      </c>
      <c r="G23" s="7">
        <v>84.254248880634876</v>
      </c>
      <c r="H23" s="1"/>
      <c r="I23" s="1"/>
      <c r="J23" s="1"/>
      <c r="K23" s="1"/>
      <c r="L23" s="1"/>
      <c r="M23" s="1"/>
      <c r="N23" s="1"/>
      <c r="O23" s="1"/>
      <c r="P23" s="1"/>
      <c r="Q23" s="1"/>
      <c r="R23" s="1"/>
      <c r="S23" s="1"/>
      <c r="T23" s="1"/>
      <c r="U23" s="1"/>
      <c r="V23" s="1"/>
      <c r="W23" s="1"/>
      <c r="X23" s="1"/>
      <c r="Y23" s="1"/>
      <c r="Z23" s="1"/>
      <c r="AA23" s="1"/>
      <c r="AB23" s="1"/>
      <c r="AC23" s="7" t="s">
        <v>25</v>
      </c>
      <c r="AD23" s="7">
        <v>5.046288694983124</v>
      </c>
      <c r="AE23" s="7">
        <v>5.2654592784517149</v>
      </c>
      <c r="AF23" s="7">
        <v>5.3397099947866549</v>
      </c>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row>
    <row r="24" spans="1:58">
      <c r="A24" s="7" t="s">
        <v>25</v>
      </c>
      <c r="B24" s="7">
        <v>475.87347960821211</v>
      </c>
      <c r="C24" s="7">
        <v>94.301675621791503</v>
      </c>
      <c r="D24" s="7">
        <v>481.19118829456306</v>
      </c>
      <c r="E24" s="7">
        <v>91.386365908057158</v>
      </c>
      <c r="F24" s="7">
        <v>482.0670125704612</v>
      </c>
      <c r="G24" s="7">
        <v>90.279624369323429</v>
      </c>
      <c r="H24" s="1"/>
      <c r="I24" s="1"/>
      <c r="J24" s="1"/>
      <c r="K24" s="1"/>
      <c r="L24" s="1"/>
      <c r="M24" s="1"/>
      <c r="N24" s="1"/>
      <c r="O24" s="1"/>
      <c r="P24" s="1"/>
      <c r="Q24" s="1"/>
      <c r="R24" s="1"/>
      <c r="S24" s="1"/>
      <c r="T24" s="1"/>
      <c r="U24" s="1"/>
      <c r="V24" s="1"/>
      <c r="W24" s="1"/>
      <c r="X24" s="1"/>
      <c r="Y24" s="1"/>
      <c r="Z24" s="1"/>
      <c r="AA24" s="1"/>
      <c r="AB24" s="1"/>
      <c r="AC24" s="7" t="s">
        <v>26</v>
      </c>
      <c r="AD24" s="7">
        <v>4.335529074046339</v>
      </c>
      <c r="AE24" s="7">
        <v>4.9179206691327479</v>
      </c>
      <c r="AF24" s="7">
        <v>4.8418770287596136</v>
      </c>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row>
    <row r="25" spans="1:58">
      <c r="A25" s="7" t="s">
        <v>26</v>
      </c>
      <c r="B25" s="7">
        <v>469.98538936317885</v>
      </c>
      <c r="C25" s="7">
        <v>108.40323783702425</v>
      </c>
      <c r="D25" s="7">
        <v>483.42148522271901</v>
      </c>
      <c r="E25" s="7">
        <v>98.297942920654734</v>
      </c>
      <c r="F25" s="7">
        <v>476.7694062088251</v>
      </c>
      <c r="G25" s="7">
        <v>98.467888254271372</v>
      </c>
      <c r="H25" s="1"/>
      <c r="I25" s="1"/>
      <c r="J25" s="1"/>
      <c r="K25" s="1"/>
      <c r="L25" s="1"/>
      <c r="M25" s="1"/>
      <c r="N25" s="1"/>
      <c r="O25" s="1"/>
      <c r="P25" s="1"/>
      <c r="Q25" s="1"/>
      <c r="R25" s="1"/>
      <c r="S25" s="1"/>
      <c r="T25" s="1"/>
      <c r="U25" s="1"/>
      <c r="V25" s="1"/>
      <c r="W25" s="1"/>
      <c r="X25" s="1"/>
      <c r="Y25" s="1"/>
      <c r="Z25" s="1"/>
      <c r="AA25" s="1"/>
      <c r="AB25" s="1"/>
      <c r="AC25" s="7" t="s">
        <v>27</v>
      </c>
      <c r="AD25" s="7">
        <v>5.0350007523495242</v>
      </c>
      <c r="AE25" s="7">
        <v>5.2703279769060414</v>
      </c>
      <c r="AF25" s="7">
        <v>5.632285438553069</v>
      </c>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row>
    <row r="26" spans="1:58">
      <c r="A26" s="7" t="s">
        <v>27</v>
      </c>
      <c r="B26" s="7">
        <v>420.46889277117191</v>
      </c>
      <c r="C26" s="7">
        <v>83.509201577569783</v>
      </c>
      <c r="D26" s="7">
        <v>408.80147375476099</v>
      </c>
      <c r="E26" s="7">
        <v>77.566609809879211</v>
      </c>
      <c r="F26" s="7">
        <v>419.20471958248436</v>
      </c>
      <c r="G26" s="7">
        <v>74.428884003822404</v>
      </c>
      <c r="H26" s="1"/>
      <c r="I26" s="1"/>
      <c r="J26" s="1"/>
      <c r="K26" s="1"/>
      <c r="L26" s="1"/>
      <c r="M26" s="1"/>
      <c r="N26" s="1"/>
      <c r="O26" s="1"/>
      <c r="P26" s="1"/>
      <c r="Q26" s="1"/>
      <c r="R26" s="1"/>
      <c r="S26" s="1"/>
      <c r="T26" s="1"/>
      <c r="U26" s="1"/>
      <c r="V26" s="1"/>
      <c r="W26" s="1"/>
      <c r="X26" s="1"/>
      <c r="Y26" s="1"/>
      <c r="Z26" s="1"/>
      <c r="AA26" s="1"/>
      <c r="AB26" s="1"/>
      <c r="AC26" s="7" t="s">
        <v>110</v>
      </c>
      <c r="AD26" s="7">
        <v>4.6255180868023196</v>
      </c>
      <c r="AE26" s="7">
        <v>5.5661930953358612</v>
      </c>
      <c r="AF26" s="7">
        <v>4.8211699950940812</v>
      </c>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row>
    <row r="27" spans="1:58">
      <c r="A27" s="7" t="s">
        <v>110</v>
      </c>
      <c r="B27" s="7">
        <v>484.78372537056595</v>
      </c>
      <c r="C27" s="7">
        <v>104.80636250321166</v>
      </c>
      <c r="D27" s="7">
        <v>519.2309826765586</v>
      </c>
      <c r="E27" s="7">
        <v>93.282962661076795</v>
      </c>
      <c r="F27" s="7">
        <v>503.38381975000721</v>
      </c>
      <c r="G27" s="7">
        <v>104.41113262179923</v>
      </c>
      <c r="H27" s="1"/>
      <c r="I27" s="1"/>
      <c r="J27" s="1"/>
      <c r="K27" s="1"/>
      <c r="L27" s="1"/>
      <c r="M27" s="1"/>
      <c r="N27" s="1"/>
      <c r="O27" s="1"/>
      <c r="P27" s="1"/>
      <c r="Q27" s="1"/>
      <c r="R27" s="1"/>
      <c r="S27" s="1"/>
      <c r="T27" s="1"/>
      <c r="U27" s="1"/>
      <c r="V27" s="1"/>
      <c r="W27" s="1"/>
      <c r="X27" s="1"/>
      <c r="Y27" s="1"/>
      <c r="Z27" s="1"/>
      <c r="AA27" s="1"/>
      <c r="AB27" s="1"/>
      <c r="AC27" s="7" t="s">
        <v>29</v>
      </c>
      <c r="AD27" s="7">
        <v>4.757593983845263</v>
      </c>
      <c r="AE27" s="7">
        <v>5.3068545516815311</v>
      </c>
      <c r="AF27" s="7">
        <v>4.9706648046452102</v>
      </c>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row>
    <row r="28" spans="1:58">
      <c r="A28" s="7" t="s">
        <v>29</v>
      </c>
      <c r="B28" s="7">
        <v>505.72728344383086</v>
      </c>
      <c r="C28" s="7">
        <v>106.29895807861338</v>
      </c>
      <c r="D28" s="7">
        <v>494.48967597920677</v>
      </c>
      <c r="E28" s="7">
        <v>93.179428824278347</v>
      </c>
      <c r="F28" s="7">
        <v>508.4907214228428</v>
      </c>
      <c r="G28" s="7">
        <v>102.29833259881968</v>
      </c>
      <c r="H28" s="1"/>
      <c r="I28" s="1"/>
      <c r="J28" s="1"/>
      <c r="K28" s="1"/>
      <c r="L28" s="1"/>
      <c r="M28" s="1"/>
      <c r="N28" s="1"/>
      <c r="O28" s="1"/>
      <c r="P28" s="1"/>
      <c r="Q28" s="1"/>
      <c r="R28" s="1"/>
      <c r="S28" s="1"/>
      <c r="T28" s="1"/>
      <c r="U28" s="1"/>
      <c r="V28" s="1"/>
      <c r="W28" s="1"/>
      <c r="X28" s="1"/>
      <c r="Y28" s="1"/>
      <c r="Z28" s="1"/>
      <c r="AA28" s="1"/>
      <c r="AB28" s="1"/>
      <c r="AC28" s="7" t="s">
        <v>30</v>
      </c>
      <c r="AD28" s="7">
        <v>4.7265318756904326</v>
      </c>
      <c r="AE28" s="7">
        <v>5.5367918867486123</v>
      </c>
      <c r="AF28" s="7">
        <v>4.9813880900753862</v>
      </c>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row>
    <row r="29" spans="1:58">
      <c r="A29" s="7" t="s">
        <v>30</v>
      </c>
      <c r="B29" s="7">
        <v>499.45095627638415</v>
      </c>
      <c r="C29" s="7">
        <v>105.66964730422481</v>
      </c>
      <c r="D29" s="7">
        <v>500.96378835595345</v>
      </c>
      <c r="E29" s="7">
        <v>90.47907138336312</v>
      </c>
      <c r="F29" s="7">
        <v>490.41314927260748</v>
      </c>
      <c r="G29" s="7">
        <v>98.449094992152226</v>
      </c>
      <c r="H29" s="1"/>
      <c r="I29" s="1"/>
      <c r="J29" s="1"/>
      <c r="K29" s="1"/>
      <c r="L29" s="1"/>
      <c r="M29" s="1"/>
      <c r="N29" s="1"/>
      <c r="O29" s="1"/>
      <c r="P29" s="1"/>
      <c r="Q29" s="1"/>
      <c r="R29" s="1"/>
      <c r="S29" s="1"/>
      <c r="T29" s="1"/>
      <c r="U29" s="1"/>
      <c r="V29" s="1"/>
      <c r="W29" s="1"/>
      <c r="X29" s="1"/>
      <c r="Y29" s="1"/>
      <c r="Z29" s="1"/>
      <c r="AA29" s="1"/>
      <c r="AB29" s="1"/>
      <c r="AC29" s="7" t="s">
        <v>31</v>
      </c>
      <c r="AD29" s="7">
        <v>5.2586742500363277</v>
      </c>
      <c r="AE29" s="7">
        <v>5.7233608566836063</v>
      </c>
      <c r="AF29" s="7">
        <v>5.5842052416954582</v>
      </c>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row>
    <row r="30" spans="1:58">
      <c r="A30" s="7" t="s">
        <v>31</v>
      </c>
      <c r="B30" s="7">
        <v>511.85569535773169</v>
      </c>
      <c r="C30" s="7">
        <v>97.335501501009631</v>
      </c>
      <c r="D30" s="7">
        <v>515.64787462969241</v>
      </c>
      <c r="E30" s="7">
        <v>90.095293227497777</v>
      </c>
      <c r="F30" s="7">
        <v>511.0355617941691</v>
      </c>
      <c r="G30" s="7">
        <v>91.514466190897053</v>
      </c>
      <c r="H30" s="1"/>
      <c r="I30" s="1"/>
      <c r="J30" s="1"/>
      <c r="K30" s="1"/>
      <c r="L30" s="1"/>
      <c r="M30" s="1"/>
      <c r="N30" s="1"/>
      <c r="O30" s="1"/>
      <c r="P30" s="1"/>
      <c r="Q30" s="1"/>
      <c r="R30" s="1"/>
      <c r="S30" s="1"/>
      <c r="T30" s="1"/>
      <c r="U30" s="1"/>
      <c r="V30" s="1"/>
      <c r="W30" s="1"/>
      <c r="X30" s="1"/>
      <c r="Y30" s="1"/>
      <c r="Z30" s="1"/>
      <c r="AA30" s="1"/>
      <c r="AB30" s="1"/>
      <c r="AC30" s="7" t="s">
        <v>111</v>
      </c>
      <c r="AD30" s="7">
        <v>5.1183876418778871</v>
      </c>
      <c r="AE30" s="7">
        <v>5.1100866410960659</v>
      </c>
      <c r="AF30" s="7">
        <v>5.3456312158722916</v>
      </c>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row>
    <row r="31" spans="1:58">
      <c r="A31" s="7" t="s">
        <v>111</v>
      </c>
      <c r="B31" s="7">
        <v>491.80078513683378</v>
      </c>
      <c r="C31" s="7">
        <v>96.085099360781669</v>
      </c>
      <c r="D31" s="7">
        <v>492.48740611179284</v>
      </c>
      <c r="E31" s="7">
        <v>96.375549124967264</v>
      </c>
      <c r="F31" s="7">
        <v>491.67732851561425</v>
      </c>
      <c r="G31" s="7">
        <v>91.977412705860061</v>
      </c>
      <c r="H31" s="1"/>
      <c r="I31" s="1"/>
      <c r="J31" s="1"/>
      <c r="K31" s="1"/>
      <c r="L31" s="1"/>
      <c r="M31" s="1"/>
      <c r="N31" s="1"/>
      <c r="O31" s="1"/>
      <c r="P31" s="1"/>
      <c r="Q31" s="1"/>
      <c r="R31" s="1"/>
      <c r="S31" s="1"/>
      <c r="T31" s="1"/>
      <c r="U31" s="1"/>
      <c r="V31" s="1"/>
      <c r="W31" s="1"/>
      <c r="X31" s="1"/>
      <c r="Y31" s="1"/>
      <c r="Z31" s="1"/>
      <c r="AA31" s="1"/>
      <c r="AB31" s="1"/>
      <c r="AC31" s="7" t="s">
        <v>33</v>
      </c>
      <c r="AD31" s="7">
        <v>4.5646764251628431</v>
      </c>
      <c r="AE31" s="7">
        <v>4.8825706123166768</v>
      </c>
      <c r="AF31" s="7">
        <v>4.8424456378287646</v>
      </c>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row>
    <row r="32" spans="1:58">
      <c r="A32" s="7" t="s">
        <v>33</v>
      </c>
      <c r="B32" s="7">
        <v>457.98396704074833</v>
      </c>
      <c r="C32" s="7">
        <v>100.33218664002233</v>
      </c>
      <c r="D32" s="7">
        <v>486.16485429356203</v>
      </c>
      <c r="E32" s="7">
        <v>99.571494791528892</v>
      </c>
      <c r="F32" s="7">
        <v>464.0475783434913</v>
      </c>
      <c r="G32" s="7">
        <v>95.829176628931449</v>
      </c>
      <c r="H32" s="1"/>
      <c r="I32" s="1"/>
      <c r="J32" s="1"/>
      <c r="K32" s="1"/>
      <c r="L32" s="1"/>
      <c r="M32" s="1"/>
      <c r="N32" s="1"/>
      <c r="O32" s="1"/>
      <c r="P32" s="1"/>
      <c r="Q32" s="1"/>
      <c r="R32" s="1"/>
      <c r="S32" s="1"/>
      <c r="T32" s="1"/>
      <c r="U32" s="1"/>
      <c r="V32" s="1"/>
      <c r="W32" s="1"/>
      <c r="X32" s="1"/>
      <c r="Y32" s="1"/>
      <c r="Z32" s="1"/>
      <c r="AA32" s="1"/>
      <c r="AB32" s="1"/>
      <c r="AC32" s="7" t="s">
        <v>34</v>
      </c>
      <c r="AD32" s="7">
        <v>5.2919001097995482</v>
      </c>
      <c r="AE32" s="7">
        <v>5.7188329825156474</v>
      </c>
      <c r="AF32" s="7">
        <v>5.7565995477390812</v>
      </c>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row>
    <row r="33" spans="1:58">
      <c r="A33" s="7" t="s">
        <v>34</v>
      </c>
      <c r="B33" s="7">
        <v>495.34561512603591</v>
      </c>
      <c r="C33" s="7">
        <v>93.604490796935906</v>
      </c>
      <c r="D33" s="7">
        <v>508.89754408489466</v>
      </c>
      <c r="E33" s="7">
        <v>88.986257448112539</v>
      </c>
      <c r="F33" s="7">
        <v>507.00654597077448</v>
      </c>
      <c r="G33" s="7">
        <v>88.073964806168007</v>
      </c>
      <c r="H33" s="1"/>
      <c r="I33" s="1"/>
      <c r="J33" s="1"/>
      <c r="K33" s="1"/>
      <c r="L33" s="1"/>
      <c r="M33" s="1"/>
      <c r="N33" s="1"/>
      <c r="O33" s="1"/>
      <c r="P33" s="1"/>
      <c r="Q33" s="1"/>
      <c r="R33" s="1"/>
      <c r="S33" s="1"/>
      <c r="T33" s="1"/>
      <c r="U33" s="1"/>
      <c r="V33" s="1"/>
      <c r="W33" s="1"/>
      <c r="X33" s="1"/>
      <c r="Y33" s="1"/>
      <c r="Z33" s="1"/>
      <c r="AA33" s="1"/>
      <c r="AB33" s="1"/>
      <c r="AC33" s="7" t="s">
        <v>36</v>
      </c>
      <c r="AD33" s="7">
        <v>4.7034662725628502</v>
      </c>
      <c r="AE33" s="7">
        <v>5.5394903600235272</v>
      </c>
      <c r="AF33" s="7">
        <v>5.0978234934031352</v>
      </c>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row>
    <row r="34" spans="1:58">
      <c r="A34" s="7" t="s">
        <v>36</v>
      </c>
      <c r="B34" s="7">
        <v>505.78522059816532</v>
      </c>
      <c r="C34" s="7">
        <v>107.53456946180467</v>
      </c>
      <c r="D34" s="7">
        <v>502.38770205684824</v>
      </c>
      <c r="E34" s="7">
        <v>90.692043745106275</v>
      </c>
      <c r="F34" s="7">
        <v>499.44469005930114</v>
      </c>
      <c r="G34" s="7">
        <v>97.972142563509721</v>
      </c>
      <c r="H34" s="1"/>
      <c r="I34" s="1"/>
      <c r="J34" s="1"/>
      <c r="K34" s="1"/>
      <c r="L34" s="1"/>
      <c r="M34" s="1"/>
      <c r="N34" s="1"/>
      <c r="O34" s="11" t="s">
        <v>171</v>
      </c>
      <c r="P34" s="11" t="s">
        <v>172</v>
      </c>
      <c r="Q34" s="11" t="s">
        <v>173</v>
      </c>
      <c r="R34" s="1"/>
      <c r="S34" s="1"/>
      <c r="T34" s="1"/>
      <c r="U34" s="1"/>
      <c r="V34" s="1"/>
      <c r="W34" s="1"/>
      <c r="X34" s="1"/>
      <c r="Y34" s="1"/>
      <c r="Z34" s="1"/>
      <c r="AA34" s="1"/>
      <c r="AB34" s="1"/>
      <c r="AC34" s="7" t="s">
        <v>37</v>
      </c>
      <c r="AD34" s="7">
        <v>4.7114963962588741</v>
      </c>
      <c r="AE34" s="7">
        <v>5.4631045838923695</v>
      </c>
      <c r="AF34" s="7">
        <v>5.1161832478028915</v>
      </c>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row>
    <row r="35" spans="1:58">
      <c r="A35" s="7" t="s">
        <v>37</v>
      </c>
      <c r="B35" s="7">
        <v>483.92940514533916</v>
      </c>
      <c r="C35" s="7">
        <v>102.71246424588151</v>
      </c>
      <c r="D35" s="7">
        <v>515.3147131261436</v>
      </c>
      <c r="E35" s="7">
        <v>94.326349644763823</v>
      </c>
      <c r="F35" s="7">
        <v>495.27628796857744</v>
      </c>
      <c r="G35" s="7">
        <v>96.805814799786603</v>
      </c>
      <c r="H35" s="1"/>
      <c r="I35" s="1"/>
      <c r="J35" s="1"/>
      <c r="K35" s="1"/>
      <c r="L35" s="1"/>
      <c r="M35" s="1"/>
      <c r="N35" s="1" t="str">
        <f>N6</f>
        <v>Czech Republic</v>
      </c>
      <c r="O35" s="10">
        <f>VLOOKUP($N$6,$AC$2:$AF$79,2,0)</f>
        <v>5.0366744079961245</v>
      </c>
      <c r="P35" s="10">
        <f>VLOOKUP($N$6,$AC$2:$AF$79,3,0)</f>
        <v>5.3610631600361138</v>
      </c>
      <c r="Q35" s="10">
        <f>VLOOKUP($N$6,$AC$2:$AF$79,4,0)</f>
        <v>5.2575234878965951</v>
      </c>
      <c r="R35" s="1"/>
      <c r="S35" s="1"/>
      <c r="T35" s="1"/>
      <c r="U35" s="1"/>
      <c r="V35" s="1"/>
      <c r="W35" s="1"/>
      <c r="X35" s="1"/>
      <c r="Y35" s="1"/>
      <c r="Z35" s="1"/>
      <c r="AA35" s="1"/>
      <c r="AB35" s="1"/>
      <c r="AC35" s="7" t="s">
        <v>38</v>
      </c>
      <c r="AD35" s="7">
        <v>5.3116383335368891</v>
      </c>
      <c r="AE35" s="7">
        <v>5.1443860821047718</v>
      </c>
      <c r="AF35" s="7">
        <v>5.6065796742064622</v>
      </c>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row>
    <row r="36" spans="1:58">
      <c r="A36" s="7" t="s">
        <v>38</v>
      </c>
      <c r="B36" s="7">
        <v>465.63166649860943</v>
      </c>
      <c r="C36" s="7">
        <v>87.662532209446724</v>
      </c>
      <c r="D36" s="7">
        <v>453.50777794614606</v>
      </c>
      <c r="E36" s="7">
        <v>88.155859748496582</v>
      </c>
      <c r="F36" s="7">
        <v>468.29961869569308</v>
      </c>
      <c r="G36" s="7">
        <v>83.52679278779263</v>
      </c>
      <c r="H36" s="1"/>
      <c r="I36" s="1"/>
      <c r="J36" s="1"/>
      <c r="K36" s="1"/>
      <c r="L36" s="1"/>
      <c r="M36" s="1"/>
      <c r="N36" s="1"/>
      <c r="O36" s="1"/>
      <c r="P36" s="1"/>
      <c r="Q36" s="1"/>
      <c r="R36" s="1"/>
      <c r="S36" s="1"/>
      <c r="T36" s="1"/>
      <c r="U36" s="1"/>
      <c r="V36" s="1"/>
      <c r="W36" s="1"/>
      <c r="X36" s="1"/>
      <c r="Y36" s="1"/>
      <c r="Z36" s="1"/>
      <c r="AA36" s="1"/>
      <c r="AB36" s="1"/>
      <c r="AC36" s="7" t="s">
        <v>39</v>
      </c>
      <c r="AD36" s="7">
        <v>5.0287257699519117</v>
      </c>
      <c r="AE36" s="7">
        <v>5.3942743099389547</v>
      </c>
      <c r="AF36" s="7">
        <v>5.0981195263930941</v>
      </c>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row>
    <row r="37" spans="1:58">
      <c r="A37" s="7" t="s">
        <v>39</v>
      </c>
      <c r="B37" s="7">
        <v>503.92810920604546</v>
      </c>
      <c r="C37" s="7">
        <v>100.2099005312959</v>
      </c>
      <c r="D37" s="7">
        <v>501.76989911392042</v>
      </c>
      <c r="E37" s="7">
        <v>93.018980920085767</v>
      </c>
      <c r="F37" s="7">
        <v>504.66747353358471</v>
      </c>
      <c r="G37" s="7">
        <v>98.990906533459722</v>
      </c>
      <c r="H37" s="1"/>
      <c r="I37" s="1"/>
      <c r="J37" s="1"/>
      <c r="K37" s="1"/>
      <c r="L37" s="1"/>
      <c r="M37" s="1"/>
      <c r="N37" s="1"/>
      <c r="O37" s="1"/>
      <c r="P37" s="1"/>
      <c r="Q37" s="1"/>
      <c r="R37" s="1"/>
      <c r="S37" s="1"/>
      <c r="T37" s="1"/>
      <c r="U37" s="1"/>
      <c r="V37" s="1"/>
      <c r="W37" s="1"/>
      <c r="X37" s="1"/>
      <c r="Y37" s="1"/>
      <c r="Z37" s="1"/>
      <c r="AA37" s="1"/>
      <c r="AB37" s="1"/>
      <c r="AC37" s="7" t="s">
        <v>112</v>
      </c>
      <c r="AD37" s="7">
        <v>4.6837667121699189</v>
      </c>
      <c r="AE37" s="7">
        <v>5.1903300927263416</v>
      </c>
      <c r="AF37" s="7">
        <v>5.0706735213272216</v>
      </c>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row>
    <row r="38" spans="1:58">
      <c r="A38" s="7" t="s">
        <v>112</v>
      </c>
      <c r="B38" s="7">
        <v>505.35277105006838</v>
      </c>
      <c r="C38" s="7">
        <v>107.89452210269158</v>
      </c>
      <c r="D38" s="7">
        <v>478.24471737720535</v>
      </c>
      <c r="E38" s="7">
        <v>92.141484035362424</v>
      </c>
      <c r="F38" s="7">
        <v>502.38003200092146</v>
      </c>
      <c r="G38" s="7">
        <v>99.075602065073625</v>
      </c>
      <c r="H38" s="1"/>
      <c r="I38" s="1"/>
      <c r="J38" s="1"/>
      <c r="K38" s="1"/>
      <c r="L38" s="1"/>
      <c r="M38" s="1"/>
      <c r="N38" s="1"/>
      <c r="O38" s="1"/>
      <c r="P38" s="1"/>
      <c r="Q38" s="1"/>
      <c r="R38" s="1"/>
      <c r="S38" s="1"/>
      <c r="T38" s="1"/>
      <c r="U38" s="1"/>
      <c r="V38" s="1"/>
      <c r="W38" s="1"/>
      <c r="X38" s="1"/>
      <c r="Y38" s="1"/>
      <c r="Z38" s="1"/>
      <c r="AA38" s="1"/>
      <c r="AB38" s="1"/>
      <c r="AC38" s="7" t="s">
        <v>41</v>
      </c>
      <c r="AD38" s="7">
        <v>5.050484161804186</v>
      </c>
      <c r="AE38" s="7">
        <v>5.2606776359222938</v>
      </c>
      <c r="AF38" s="7">
        <v>5.6261805833772529</v>
      </c>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row>
    <row r="39" spans="1:58">
      <c r="A39" s="7" t="s">
        <v>41</v>
      </c>
      <c r="B39" s="7">
        <v>405.42936627838083</v>
      </c>
      <c r="C39" s="7">
        <v>80.275346538964129</v>
      </c>
      <c r="D39" s="7">
        <v>437.2219911613538</v>
      </c>
      <c r="E39" s="7">
        <v>83.111344473153736</v>
      </c>
      <c r="F39" s="7">
        <v>416.72625758012231</v>
      </c>
      <c r="G39" s="7">
        <v>74.069122276550203</v>
      </c>
      <c r="H39" s="1"/>
      <c r="I39" s="1"/>
      <c r="J39" s="1"/>
      <c r="K39" s="1"/>
      <c r="L39" s="1"/>
      <c r="M39" s="1"/>
      <c r="N39" s="1"/>
      <c r="O39" s="1"/>
      <c r="P39" s="1"/>
      <c r="Q39" s="1"/>
      <c r="R39" s="1"/>
      <c r="S39" s="1"/>
      <c r="T39" s="1"/>
      <c r="U39" s="1"/>
      <c r="V39" s="1"/>
      <c r="W39" s="1"/>
      <c r="X39" s="1"/>
      <c r="Y39" s="1"/>
      <c r="Z39" s="1"/>
      <c r="AA39" s="1"/>
      <c r="AB39" s="1"/>
      <c r="AC39" s="7" t="s">
        <v>42</v>
      </c>
      <c r="AD39" s="7">
        <v>4.1055788245323601</v>
      </c>
      <c r="AE39" s="7">
        <v>4.5149089475616275</v>
      </c>
      <c r="AF39" s="7">
        <v>4.5102432797456045</v>
      </c>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row>
    <row r="40" spans="1:58">
      <c r="A40" s="7" t="s">
        <v>42</v>
      </c>
      <c r="B40" s="7">
        <v>401.50310880731661</v>
      </c>
      <c r="C40" s="7">
        <v>97.794519595674601</v>
      </c>
      <c r="D40" s="7">
        <v>379.4538166029289</v>
      </c>
      <c r="E40" s="7">
        <v>84.044622164055156</v>
      </c>
      <c r="F40" s="7">
        <v>404.07144482169264</v>
      </c>
      <c r="G40" s="7">
        <v>89.589722717680957</v>
      </c>
      <c r="H40" s="1"/>
      <c r="I40" s="1"/>
      <c r="J40" s="1"/>
      <c r="K40" s="1"/>
      <c r="L40" s="1"/>
      <c r="M40" s="1"/>
      <c r="N40" s="1"/>
      <c r="O40" s="1"/>
      <c r="P40" s="1"/>
      <c r="Q40" s="1"/>
      <c r="R40" s="1"/>
      <c r="S40" s="1"/>
      <c r="T40" s="1"/>
      <c r="U40" s="1"/>
      <c r="V40" s="1"/>
      <c r="W40" s="1"/>
      <c r="X40" s="1"/>
      <c r="Y40" s="1"/>
      <c r="Z40" s="1"/>
      <c r="AA40" s="1"/>
      <c r="AB40" s="1"/>
      <c r="AC40" s="7" t="s">
        <v>43</v>
      </c>
      <c r="AD40" s="7">
        <v>5.2582488944637973</v>
      </c>
      <c r="AE40" s="7">
        <v>4.6989387142118186</v>
      </c>
      <c r="AF40" s="7">
        <v>5.3961389987318862</v>
      </c>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row>
    <row r="41" spans="1:58">
      <c r="A41" s="7" t="s">
        <v>43</v>
      </c>
      <c r="B41" s="7">
        <v>389.38833381099158</v>
      </c>
      <c r="C41" s="7">
        <v>74.052853264698669</v>
      </c>
      <c r="D41" s="7">
        <v>419.64311269150994</v>
      </c>
      <c r="E41" s="7">
        <v>89.30593442776987</v>
      </c>
      <c r="F41" s="7">
        <v>397.6495810748745</v>
      </c>
      <c r="G41" s="7">
        <v>73.691500750503963</v>
      </c>
      <c r="H41" s="1"/>
      <c r="I41" s="1"/>
      <c r="J41" s="1"/>
      <c r="K41" s="1"/>
      <c r="L41" s="1"/>
      <c r="M41" s="1"/>
      <c r="N41" s="1"/>
      <c r="O41" s="1"/>
      <c r="P41" s="1"/>
      <c r="Q41" s="1"/>
      <c r="R41" s="1"/>
      <c r="S41" s="1"/>
      <c r="T41" s="1"/>
      <c r="U41" s="1"/>
      <c r="V41" s="1"/>
      <c r="W41" s="1"/>
      <c r="X41" s="1"/>
      <c r="Y41" s="1"/>
      <c r="Z41" s="1"/>
      <c r="AA41" s="1"/>
      <c r="AB41" s="1"/>
      <c r="AC41" s="7" t="s">
        <v>44</v>
      </c>
      <c r="AD41" s="7">
        <v>5.2993400723572286</v>
      </c>
      <c r="AE41" s="7">
        <v>5.0761151113900915</v>
      </c>
      <c r="AF41" s="7">
        <v>5.5425738579734549</v>
      </c>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row>
    <row r="42" spans="1:58">
      <c r="A42" s="7" t="s">
        <v>44</v>
      </c>
      <c r="B42" s="7">
        <v>473.78844693315233</v>
      </c>
      <c r="C42" s="7">
        <v>89.40517884567538</v>
      </c>
      <c r="D42" s="7">
        <v>471.86514427741088</v>
      </c>
      <c r="E42" s="7">
        <v>92.957928242921753</v>
      </c>
      <c r="F42" s="7">
        <v>471.26368079345161</v>
      </c>
      <c r="G42" s="7">
        <v>85.026143605736436</v>
      </c>
      <c r="H42" s="1"/>
      <c r="I42" s="1"/>
      <c r="J42" s="1"/>
      <c r="K42" s="1"/>
      <c r="L42" s="1"/>
      <c r="M42" s="1"/>
      <c r="N42" s="1"/>
      <c r="O42" s="1"/>
      <c r="P42" s="1"/>
      <c r="Q42" s="1"/>
      <c r="R42" s="1"/>
      <c r="S42" s="1"/>
      <c r="T42" s="1"/>
      <c r="U42" s="1"/>
      <c r="V42" s="1"/>
      <c r="W42" s="1"/>
      <c r="X42" s="1"/>
      <c r="Y42" s="1"/>
      <c r="Z42" s="1"/>
      <c r="AA42" s="1"/>
      <c r="AB42" s="1"/>
      <c r="AC42" s="7" t="s">
        <v>45</v>
      </c>
      <c r="AD42" s="7">
        <v>5.0800328482076802</v>
      </c>
      <c r="AE42" s="7">
        <v>4.9577741595469718</v>
      </c>
      <c r="AF42" s="7">
        <v>5.2025637730633525</v>
      </c>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row>
    <row r="43" spans="1:58">
      <c r="A43" s="7" t="s">
        <v>45</v>
      </c>
      <c r="B43" s="7">
        <v>402.97782126090317</v>
      </c>
      <c r="C43" s="7">
        <v>79.325829832592603</v>
      </c>
      <c r="D43" s="7">
        <v>406.38440791443315</v>
      </c>
      <c r="E43" s="7">
        <v>81.969124618529918</v>
      </c>
      <c r="F43" s="7">
        <v>398.49766269909844</v>
      </c>
      <c r="G43" s="7">
        <v>76.596401328581251</v>
      </c>
      <c r="H43" s="1"/>
      <c r="I43" s="1"/>
      <c r="J43" s="1"/>
      <c r="K43" s="1"/>
      <c r="L43" s="1"/>
      <c r="M43" s="1"/>
      <c r="N43" s="1"/>
      <c r="O43" s="1"/>
      <c r="P43" s="1"/>
      <c r="Q43" s="1"/>
      <c r="R43" s="1"/>
      <c r="S43" s="1"/>
      <c r="T43" s="1"/>
      <c r="U43" s="1"/>
      <c r="V43" s="1"/>
      <c r="W43" s="1"/>
      <c r="X43" s="1"/>
      <c r="Y43" s="1"/>
      <c r="Z43" s="1"/>
      <c r="AA43" s="1"/>
      <c r="AB43" s="1"/>
      <c r="AC43" s="7" t="s">
        <v>46</v>
      </c>
      <c r="AD43" s="7">
        <v>4.143610572017761</v>
      </c>
      <c r="AE43" s="7">
        <v>4.3818625219174967</v>
      </c>
      <c r="AF43" s="7">
        <v>4.4692120541723126</v>
      </c>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row>
    <row r="44" spans="1:58">
      <c r="A44" s="7" t="s">
        <v>46</v>
      </c>
      <c r="B44" s="7">
        <v>412.87331668524951</v>
      </c>
      <c r="C44" s="7">
        <v>99.640955516772394</v>
      </c>
      <c r="D44" s="7">
        <v>383.56912410618042</v>
      </c>
      <c r="E44" s="7">
        <v>87.535636316205355</v>
      </c>
      <c r="F44" s="7">
        <v>403.62094203924062</v>
      </c>
      <c r="G44" s="7">
        <v>90.311432339048025</v>
      </c>
      <c r="H44" s="1"/>
      <c r="I44" s="1"/>
      <c r="J44" s="1"/>
      <c r="K44" s="1"/>
      <c r="L44" s="1"/>
      <c r="M44" s="1"/>
      <c r="N44" s="1"/>
      <c r="O44" s="1"/>
      <c r="P44" s="1"/>
      <c r="Q44" s="1"/>
      <c r="R44" s="1"/>
      <c r="S44" s="1"/>
      <c r="T44" s="1"/>
      <c r="U44" s="1"/>
      <c r="V44" s="1"/>
      <c r="W44" s="1"/>
      <c r="X44" s="1"/>
      <c r="Y44" s="1"/>
      <c r="Z44" s="1"/>
      <c r="AA44" s="1"/>
      <c r="AB44" s="1"/>
      <c r="AC44" s="7" t="s">
        <v>47</v>
      </c>
      <c r="AD44" s="7">
        <v>4.1879465164255887</v>
      </c>
      <c r="AE44" s="7">
        <v>4.7064872316292661</v>
      </c>
      <c r="AF44" s="7">
        <v>4.4943925065008106</v>
      </c>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row>
    <row r="45" spans="1:58">
      <c r="A45" s="7" t="s">
        <v>47</v>
      </c>
      <c r="B45" s="7">
        <v>408.06994401933429</v>
      </c>
      <c r="C45" s="7">
        <v>97.4391488570446</v>
      </c>
      <c r="D45" s="7">
        <v>430.11296226737625</v>
      </c>
      <c r="E45" s="7">
        <v>91.387257863330504</v>
      </c>
      <c r="F45" s="7">
        <v>430.98437661665878</v>
      </c>
      <c r="G45" s="7">
        <v>95.893800106081386</v>
      </c>
      <c r="H45" s="1"/>
      <c r="I45" s="1"/>
      <c r="J45" s="1"/>
      <c r="K45" s="1"/>
      <c r="L45" s="1"/>
      <c r="M45" s="1"/>
      <c r="N45" s="1"/>
      <c r="O45" s="1"/>
      <c r="P45" s="1"/>
      <c r="Q45" s="1"/>
      <c r="R45" s="1"/>
      <c r="S45" s="1"/>
      <c r="T45" s="1"/>
      <c r="U45" s="1"/>
      <c r="V45" s="1"/>
      <c r="W45" s="1"/>
      <c r="X45" s="1"/>
      <c r="Y45" s="1"/>
      <c r="Z45" s="1"/>
      <c r="AA45" s="1"/>
      <c r="AB45" s="1"/>
      <c r="AC45" s="7" t="s">
        <v>48</v>
      </c>
      <c r="AD45" s="7">
        <v>6.3654445412758331</v>
      </c>
      <c r="AE45" s="7">
        <v>7.3624770553919143</v>
      </c>
      <c r="AF45" s="7">
        <v>7.0976783172242541</v>
      </c>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row>
    <row r="46" spans="1:58">
      <c r="A46" s="7" t="s">
        <v>48</v>
      </c>
      <c r="B46" s="7">
        <v>555.23624358750749</v>
      </c>
      <c r="C46" s="7">
        <v>87.226624941456308</v>
      </c>
      <c r="D46" s="7">
        <v>591.39359687851254</v>
      </c>
      <c r="E46" s="7">
        <v>80.325356864155538</v>
      </c>
      <c r="F46" s="7">
        <v>590.45264008078777</v>
      </c>
      <c r="G46" s="7">
        <v>83.189546453226811</v>
      </c>
      <c r="H46" s="1"/>
      <c r="I46" s="1"/>
      <c r="J46" s="1"/>
      <c r="K46" s="1"/>
      <c r="L46" s="1"/>
      <c r="M46" s="1"/>
      <c r="N46" s="1"/>
      <c r="O46" s="1"/>
      <c r="P46" s="1"/>
      <c r="Q46" s="1"/>
      <c r="R46" s="1"/>
      <c r="S46" s="1"/>
      <c r="T46" s="1"/>
      <c r="U46" s="1"/>
      <c r="V46" s="1"/>
      <c r="W46" s="1"/>
      <c r="X46" s="1"/>
      <c r="Y46" s="1"/>
      <c r="Z46" s="1"/>
      <c r="AA46" s="1"/>
      <c r="AB46" s="1"/>
      <c r="AC46" s="7" t="s">
        <v>49</v>
      </c>
      <c r="AD46" s="7">
        <v>4.139781752476523</v>
      </c>
      <c r="AE46" s="7">
        <v>4.4754833436039236</v>
      </c>
      <c r="AF46" s="7">
        <v>4.4811099474125404</v>
      </c>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row>
    <row r="47" spans="1:58">
      <c r="A47" s="7" t="s">
        <v>49</v>
      </c>
      <c r="B47" s="7">
        <v>419.84400596424894</v>
      </c>
      <c r="C47" s="7">
        <v>101.41694201948872</v>
      </c>
      <c r="D47" s="7">
        <v>436.04057099732</v>
      </c>
      <c r="E47" s="7">
        <v>97.428710492349722</v>
      </c>
      <c r="F47" s="7">
        <v>424.07358287521805</v>
      </c>
      <c r="G47" s="7">
        <v>94.63583528453357</v>
      </c>
      <c r="H47" s="1"/>
      <c r="I47" s="1"/>
      <c r="J47" s="1"/>
      <c r="K47" s="1"/>
      <c r="L47" s="1"/>
      <c r="M47" s="1"/>
      <c r="N47" s="1"/>
      <c r="O47" s="1"/>
      <c r="Q47" s="149" t="s">
        <v>83</v>
      </c>
      <c r="R47" s="149"/>
      <c r="S47" s="149"/>
      <c r="T47" s="149"/>
      <c r="U47" s="149"/>
      <c r="V47" s="149"/>
      <c r="W47" s="1"/>
      <c r="X47" s="1"/>
      <c r="Y47" s="1"/>
      <c r="Z47" s="1"/>
      <c r="AA47" s="1"/>
      <c r="AB47" s="1"/>
      <c r="AC47" s="7" t="s">
        <v>50</v>
      </c>
      <c r="AD47" s="7">
        <v>5.2435270037546866</v>
      </c>
      <c r="AE47" s="7">
        <v>5.3844382426868602</v>
      </c>
      <c r="AF47" s="7">
        <v>5.6732671080629116</v>
      </c>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row>
    <row r="48" spans="1:58">
      <c r="A48" s="7" t="s">
        <v>50</v>
      </c>
      <c r="B48" s="7">
        <v>426.49822500736076</v>
      </c>
      <c r="C48" s="7">
        <v>81.338043019891359</v>
      </c>
      <c r="D48" s="7">
        <v>402.33055860721203</v>
      </c>
      <c r="E48" s="7">
        <v>74.720990467976321</v>
      </c>
      <c r="F48" s="7">
        <v>415.62246211057595</v>
      </c>
      <c r="G48" s="7">
        <v>73.259808536052986</v>
      </c>
      <c r="H48" s="1"/>
      <c r="I48" s="1"/>
      <c r="J48" s="1"/>
      <c r="K48" s="1"/>
      <c r="L48" s="1"/>
      <c r="M48" s="1"/>
      <c r="N48" s="1"/>
      <c r="O48" s="1"/>
      <c r="P48" t="s">
        <v>84</v>
      </c>
      <c r="Q48" t="s">
        <v>130</v>
      </c>
      <c r="R48" t="s">
        <v>131</v>
      </c>
      <c r="S48" t="s">
        <v>132</v>
      </c>
      <c r="T48" t="s">
        <v>133</v>
      </c>
      <c r="U48" t="s">
        <v>134</v>
      </c>
      <c r="V48" t="s">
        <v>135</v>
      </c>
      <c r="W48" s="1"/>
      <c r="X48" s="1"/>
      <c r="Y48" s="1"/>
      <c r="Z48" s="1"/>
      <c r="AA48" s="1"/>
      <c r="AB48" s="1"/>
      <c r="AC48" s="7" t="s">
        <v>51</v>
      </c>
      <c r="AD48" s="7">
        <v>5.3699556098319183</v>
      </c>
      <c r="AE48" s="7">
        <v>5.3643422610877902</v>
      </c>
      <c r="AF48" s="7">
        <v>5.252297878481003</v>
      </c>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row>
    <row r="49" spans="1:58">
      <c r="A49" s="7" t="s">
        <v>51</v>
      </c>
      <c r="B49" s="7">
        <v>478.98915239507591</v>
      </c>
      <c r="C49" s="7">
        <v>89.197972422358333</v>
      </c>
      <c r="D49" s="7">
        <v>464.20427271196877</v>
      </c>
      <c r="E49" s="7">
        <v>86.535170598498809</v>
      </c>
      <c r="F49" s="7">
        <v>472.36261957297722</v>
      </c>
      <c r="G49" s="7">
        <v>89.934468779517772</v>
      </c>
      <c r="H49" s="1"/>
      <c r="I49" s="1"/>
      <c r="J49" s="1"/>
      <c r="K49" s="1"/>
      <c r="L49" s="1"/>
      <c r="M49" s="1"/>
      <c r="N49" s="1"/>
      <c r="O49" s="1"/>
      <c r="P49" t="s">
        <v>122</v>
      </c>
      <c r="Q49" s="12">
        <v>453.74358974358972</v>
      </c>
      <c r="R49" s="12">
        <v>94.641025641025635</v>
      </c>
      <c r="S49" s="12">
        <v>458.82051282051282</v>
      </c>
      <c r="T49" s="12">
        <v>88.910256410256409</v>
      </c>
      <c r="U49" s="12">
        <v>458.70512820512823</v>
      </c>
      <c r="V49" s="12">
        <v>88.987179487179489</v>
      </c>
      <c r="W49" s="1"/>
      <c r="X49" s="1"/>
      <c r="Y49" s="1"/>
      <c r="Z49" s="1"/>
      <c r="AA49" s="1"/>
      <c r="AB49" s="1"/>
      <c r="AC49" s="7" t="s">
        <v>52</v>
      </c>
      <c r="AD49" s="7">
        <v>4.3302734003305945</v>
      </c>
      <c r="AE49" s="7">
        <v>4.7588718868526474</v>
      </c>
      <c r="AF49" s="7">
        <v>4.7225042681796889</v>
      </c>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row>
    <row r="50" spans="1:58">
      <c r="A50" s="7" t="s">
        <v>52</v>
      </c>
      <c r="B50" s="7">
        <v>424.3582472168186</v>
      </c>
      <c r="C50" s="7">
        <v>97.998026448958399</v>
      </c>
      <c r="D50" s="7">
        <v>450.68299442684065</v>
      </c>
      <c r="E50" s="7">
        <v>94.703746001640468</v>
      </c>
      <c r="F50" s="7">
        <v>439.0082497979065</v>
      </c>
      <c r="G50" s="7">
        <v>92.960900587417413</v>
      </c>
      <c r="H50" s="1"/>
      <c r="I50" s="1"/>
      <c r="J50" s="1"/>
      <c r="K50" s="1"/>
      <c r="L50" s="1"/>
      <c r="M50" s="1"/>
      <c r="N50" s="1"/>
      <c r="O50" s="1"/>
      <c r="P50" t="s">
        <v>88</v>
      </c>
      <c r="Q50" s="12">
        <v>-0.31507955449328884</v>
      </c>
      <c r="R50" s="12">
        <v>-0.12777536195961212</v>
      </c>
      <c r="S50" s="12">
        <v>-0.15488638751090411</v>
      </c>
      <c r="T50" s="12">
        <v>3.1588935985196569E-2</v>
      </c>
      <c r="U50" s="12">
        <v>-0.10572798577845871</v>
      </c>
      <c r="V50" s="12">
        <v>-0.33812407982750869</v>
      </c>
      <c r="W50" s="1"/>
      <c r="X50" s="1"/>
      <c r="Y50" s="1"/>
      <c r="Z50" s="1"/>
      <c r="AA50" s="1"/>
      <c r="AB50" s="1"/>
      <c r="AC50" s="7" t="s">
        <v>53</v>
      </c>
      <c r="AD50" s="7">
        <v>4.1738679479261496</v>
      </c>
      <c r="AE50" s="7">
        <v>4.5493875966135136</v>
      </c>
      <c r="AF50" s="7">
        <v>4.7570389413251153</v>
      </c>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row>
    <row r="51" spans="1:58">
      <c r="A51" s="7" t="s">
        <v>53</v>
      </c>
      <c r="B51" s="7">
        <v>341.62562074396402</v>
      </c>
      <c r="C51" s="7">
        <v>81.848689274826242</v>
      </c>
      <c r="D51" s="7">
        <v>325.10054663957055</v>
      </c>
      <c r="E51" s="7">
        <v>71.460287727862507</v>
      </c>
      <c r="F51" s="7">
        <v>335.62994655771934</v>
      </c>
      <c r="G51" s="7">
        <v>70.554382820382514</v>
      </c>
      <c r="H51" s="1"/>
      <c r="I51" s="1"/>
      <c r="J51" s="1"/>
      <c r="K51" s="1"/>
      <c r="L51" s="1"/>
      <c r="M51" s="1"/>
      <c r="N51" s="1"/>
      <c r="O51" s="1"/>
      <c r="P51" t="s">
        <v>90</v>
      </c>
      <c r="Q51" s="12">
        <v>-0.87436890981908633</v>
      </c>
      <c r="R51" s="12">
        <v>-4.9383099987921675E-2</v>
      </c>
      <c r="S51" s="12">
        <v>-0.59829264920120817</v>
      </c>
      <c r="T51" s="12">
        <v>-0.29674469490734179</v>
      </c>
      <c r="U51" s="12">
        <v>-0.60104629107104079</v>
      </c>
      <c r="V51" s="12">
        <v>-0.3239287193492566</v>
      </c>
      <c r="W51" s="1"/>
      <c r="X51" s="1"/>
      <c r="Y51" s="1"/>
      <c r="Z51" s="1"/>
      <c r="AA51" s="1"/>
      <c r="AB51" s="1"/>
      <c r="AC51" s="7" t="s">
        <v>54</v>
      </c>
      <c r="AD51" s="7">
        <v>4.5040434032044496</v>
      </c>
      <c r="AE51" s="7">
        <v>4.4934040666406334</v>
      </c>
      <c r="AF51" s="7">
        <v>4.7330015093244207</v>
      </c>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row>
    <row r="52" spans="1:58">
      <c r="A52" s="7" t="s">
        <v>54</v>
      </c>
      <c r="B52" s="7">
        <v>379.75254064634555</v>
      </c>
      <c r="C52" s="7">
        <v>84.313694751734985</v>
      </c>
      <c r="D52" s="7">
        <v>397.58635524417718</v>
      </c>
      <c r="E52" s="7">
        <v>88.482217345172202</v>
      </c>
      <c r="F52" s="7">
        <v>382.66360635191222</v>
      </c>
      <c r="G52" s="7">
        <v>80.850091764820263</v>
      </c>
      <c r="H52" s="1"/>
      <c r="I52" s="1"/>
      <c r="J52" s="1"/>
      <c r="K52" s="1"/>
      <c r="L52" s="1"/>
      <c r="M52" s="1"/>
      <c r="N52" s="1"/>
      <c r="O52" s="1"/>
      <c r="P52" t="s">
        <v>92</v>
      </c>
      <c r="Q52">
        <v>340</v>
      </c>
      <c r="R52">
        <v>68</v>
      </c>
      <c r="S52">
        <v>325</v>
      </c>
      <c r="T52">
        <v>71</v>
      </c>
      <c r="U52">
        <v>336</v>
      </c>
      <c r="V52">
        <v>65</v>
      </c>
      <c r="W52" s="1"/>
      <c r="X52" s="1"/>
      <c r="Y52" s="1"/>
      <c r="Z52" s="1"/>
      <c r="AA52" s="1"/>
      <c r="AB52" s="1"/>
      <c r="AC52" s="7" t="s">
        <v>128</v>
      </c>
      <c r="AD52" s="7">
        <v>5.2703441066504642</v>
      </c>
      <c r="AE52" s="7">
        <v>5.8720913940492334</v>
      </c>
      <c r="AF52" s="7">
        <v>5.9913540729224355</v>
      </c>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row>
    <row r="53" spans="1:58">
      <c r="A53" s="7" t="s">
        <v>128</v>
      </c>
      <c r="B53" s="7">
        <v>524.28311715195014</v>
      </c>
      <c r="C53" s="7">
        <v>99.477967006058577</v>
      </c>
      <c r="D53" s="7">
        <v>551.15427412710028</v>
      </c>
      <c r="E53" s="7">
        <v>93.859961833298271</v>
      </c>
      <c r="F53" s="7">
        <v>516.6861295472213</v>
      </c>
      <c r="G53" s="7">
        <v>86.238623733214695</v>
      </c>
      <c r="H53" s="1"/>
      <c r="I53" s="1"/>
      <c r="J53" s="1"/>
      <c r="K53" s="1"/>
      <c r="L53" s="1"/>
      <c r="M53" s="1"/>
      <c r="N53" s="1"/>
      <c r="O53" s="1"/>
      <c r="P53" t="s">
        <v>93</v>
      </c>
      <c r="Q53">
        <v>555</v>
      </c>
      <c r="R53">
        <v>124</v>
      </c>
      <c r="S53">
        <v>591</v>
      </c>
      <c r="T53">
        <v>108</v>
      </c>
      <c r="U53">
        <v>590</v>
      </c>
      <c r="V53">
        <v>111</v>
      </c>
      <c r="W53" s="1"/>
      <c r="X53" s="1"/>
      <c r="Y53" s="1"/>
      <c r="Z53" s="1"/>
      <c r="AA53" s="1"/>
      <c r="AB53" s="1"/>
      <c r="AC53" s="7" t="s">
        <v>56</v>
      </c>
      <c r="AD53" s="7">
        <v>4.9380789258776803</v>
      </c>
      <c r="AE53" s="7">
        <v>4.7760747490122437</v>
      </c>
      <c r="AF53" s="7">
        <v>5.7186601233104009</v>
      </c>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row>
    <row r="54" spans="1:58">
      <c r="A54" s="7" t="s">
        <v>56</v>
      </c>
      <c r="B54" s="7">
        <v>370.96538184622591</v>
      </c>
      <c r="C54" s="7">
        <v>75.123420952671708</v>
      </c>
      <c r="D54" s="7">
        <v>378.66813229902954</v>
      </c>
      <c r="E54" s="7">
        <v>79.284381463531986</v>
      </c>
      <c r="F54" s="7">
        <v>396.07005465060138</v>
      </c>
      <c r="G54" s="7">
        <v>69.259240120975321</v>
      </c>
      <c r="H54" s="1"/>
      <c r="I54" s="1"/>
      <c r="J54" s="1"/>
      <c r="K54" s="1"/>
      <c r="L54" s="1"/>
      <c r="M54" s="1"/>
      <c r="N54" s="1"/>
      <c r="O54" s="1"/>
      <c r="P54" s="1"/>
      <c r="Q54" s="1"/>
      <c r="R54" s="1"/>
      <c r="S54" s="1"/>
      <c r="T54" s="1"/>
      <c r="U54" s="1"/>
      <c r="V54" s="1"/>
      <c r="W54" s="1"/>
      <c r="X54" s="1"/>
      <c r="Y54" s="1"/>
      <c r="Z54" s="1"/>
      <c r="AA54" s="1"/>
      <c r="AB54" s="1"/>
      <c r="AC54" s="7" t="s">
        <v>57</v>
      </c>
      <c r="AD54" s="7">
        <v>4.7981932405203978</v>
      </c>
      <c r="AE54" s="7">
        <v>4.6909664911616114</v>
      </c>
      <c r="AF54" s="7">
        <v>4.8693995189627808</v>
      </c>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row>
    <row r="55" spans="1:58">
      <c r="A55" s="7" t="s">
        <v>57</v>
      </c>
      <c r="B55" s="7">
        <v>419.0636607101942</v>
      </c>
      <c r="C55" s="7">
        <v>87.337803982388962</v>
      </c>
      <c r="D55" s="7">
        <v>399.76190925923868</v>
      </c>
      <c r="E55" s="7">
        <v>85.219519263768333</v>
      </c>
      <c r="F55" s="7">
        <v>429.25207373367567</v>
      </c>
      <c r="G55" s="7">
        <v>88.152979040238961</v>
      </c>
      <c r="H55" s="1"/>
      <c r="I55" s="1"/>
      <c r="J55" s="1"/>
      <c r="K55" s="1"/>
      <c r="L55" s="1"/>
      <c r="M55" s="1"/>
      <c r="N55" s="1"/>
      <c r="O55" s="1"/>
      <c r="P55" s="1"/>
      <c r="Q55" s="1"/>
      <c r="R55" s="1"/>
      <c r="S55" s="1"/>
      <c r="T55" s="1"/>
      <c r="U55" s="1"/>
      <c r="V55" s="1"/>
      <c r="W55" s="1"/>
      <c r="X55" s="1"/>
      <c r="Y55" s="1"/>
      <c r="Z55" s="1"/>
      <c r="AA55" s="1"/>
      <c r="AB55" s="1"/>
      <c r="AC55" s="7" t="s">
        <v>58</v>
      </c>
      <c r="AD55" s="7">
        <v>5.0031683941017882</v>
      </c>
      <c r="AE55" s="7">
        <v>4.8660008818396472</v>
      </c>
      <c r="AF55" s="7">
        <v>5.2446025976903128</v>
      </c>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row>
    <row r="56" spans="1:58">
      <c r="A56" s="7" t="s">
        <v>58</v>
      </c>
      <c r="B56" s="7">
        <v>386.90927469955631</v>
      </c>
      <c r="C56" s="7">
        <v>77.332850750272939</v>
      </c>
      <c r="D56" s="7">
        <v>423.14613302815644</v>
      </c>
      <c r="E56" s="7">
        <v>86.959732088700576</v>
      </c>
      <c r="F56" s="7">
        <v>397.10483528103458</v>
      </c>
      <c r="G56" s="7">
        <v>75.716858977249643</v>
      </c>
      <c r="H56" s="1"/>
      <c r="I56" s="1"/>
      <c r="J56" s="1"/>
      <c r="K56" s="1"/>
      <c r="L56" s="1"/>
      <c r="M56" s="1"/>
      <c r="N56" s="1"/>
      <c r="O56" s="1"/>
      <c r="P56" s="1"/>
      <c r="Q56" s="1"/>
      <c r="R56" s="1"/>
      <c r="S56" s="1"/>
      <c r="T56" s="1"/>
      <c r="U56" s="1"/>
      <c r="V56" s="1"/>
      <c r="W56" s="1"/>
      <c r="X56" s="1"/>
      <c r="Y56" s="1"/>
      <c r="Z56" s="1"/>
      <c r="AA56" s="1"/>
      <c r="AB56" s="1"/>
      <c r="AC56" s="7" t="s">
        <v>59</v>
      </c>
      <c r="AD56" s="7">
        <v>5.1709023364201352</v>
      </c>
      <c r="AE56" s="7">
        <v>4.738852697267335</v>
      </c>
      <c r="AF56" s="7">
        <v>5.6385678160531754</v>
      </c>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row>
    <row r="57" spans="1:58">
      <c r="A57" s="7" t="s">
        <v>59</v>
      </c>
      <c r="B57" s="7">
        <v>353.06543254045846</v>
      </c>
      <c r="C57" s="7">
        <v>68.279269181650989</v>
      </c>
      <c r="D57" s="7">
        <v>365.88494667786102</v>
      </c>
      <c r="E57" s="7">
        <v>77.209605373226523</v>
      </c>
      <c r="F57" s="7">
        <v>364.88240773795849</v>
      </c>
      <c r="G57" s="7">
        <v>64.711894871447157</v>
      </c>
      <c r="H57" s="1"/>
      <c r="I57" s="1"/>
      <c r="J57" s="1"/>
      <c r="K57" s="1"/>
      <c r="L57" s="1"/>
      <c r="M57" s="1"/>
      <c r="N57" s="1"/>
      <c r="O57" s="1"/>
      <c r="P57" s="1"/>
      <c r="Q57" s="1"/>
      <c r="R57" s="1"/>
      <c r="S57" s="1"/>
      <c r="T57" s="1"/>
      <c r="U57" s="1"/>
      <c r="V57" s="1"/>
      <c r="W57" s="1"/>
      <c r="X57" s="1"/>
      <c r="Y57" s="1"/>
      <c r="Z57" s="1"/>
      <c r="AA57" s="1"/>
      <c r="AB57" s="1"/>
      <c r="AC57" s="7" t="s">
        <v>60</v>
      </c>
      <c r="AD57" s="7">
        <v>3.1190717811664097</v>
      </c>
      <c r="AE57" s="7">
        <v>3.7251139035435177</v>
      </c>
      <c r="AF57" s="7">
        <v>4.0229098099363494</v>
      </c>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row>
    <row r="58" spans="1:58">
      <c r="A58" s="7" t="s">
        <v>60</v>
      </c>
      <c r="B58" s="7">
        <v>353.35531643001087</v>
      </c>
      <c r="C58" s="7">
        <v>113.2886131584538</v>
      </c>
      <c r="D58" s="7">
        <v>393.45005421045192</v>
      </c>
      <c r="E58" s="7">
        <v>105.62094593568864</v>
      </c>
      <c r="F58" s="7">
        <v>383.71699371009043</v>
      </c>
      <c r="G58" s="7">
        <v>95.382947130043078</v>
      </c>
      <c r="H58" s="1"/>
      <c r="I58" s="1"/>
      <c r="J58" s="1"/>
      <c r="K58" s="1"/>
      <c r="L58" s="1"/>
      <c r="M58" s="1"/>
      <c r="N58" s="1"/>
      <c r="O58" s="1"/>
      <c r="P58" s="1"/>
      <c r="Q58" s="1"/>
      <c r="R58" s="1"/>
      <c r="S58" s="1"/>
      <c r="T58" s="1"/>
      <c r="U58" s="1"/>
      <c r="V58" s="1"/>
      <c r="W58" s="1"/>
      <c r="X58" s="1"/>
      <c r="Y58" s="1"/>
      <c r="Z58" s="1"/>
      <c r="AA58" s="1"/>
      <c r="AB58" s="1"/>
      <c r="AC58" s="7" t="s">
        <v>61</v>
      </c>
      <c r="AD58" s="7">
        <v>5.701264811962794</v>
      </c>
      <c r="AE58" s="7">
        <v>6.9137677699918179</v>
      </c>
      <c r="AF58" s="7">
        <v>6.5512201841233315</v>
      </c>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row>
    <row r="59" spans="1:58">
      <c r="A59" s="7" t="s">
        <v>61</v>
      </c>
      <c r="B59" s="7">
        <v>525.11616894822509</v>
      </c>
      <c r="C59" s="7">
        <v>92.105205821415183</v>
      </c>
      <c r="D59" s="7">
        <v>557.67023036938531</v>
      </c>
      <c r="E59" s="7">
        <v>80.660827630032657</v>
      </c>
      <c r="F59" s="7">
        <v>543.58573372395108</v>
      </c>
      <c r="G59" s="7">
        <v>82.974731186918945</v>
      </c>
      <c r="H59" s="1"/>
      <c r="I59" s="1"/>
      <c r="J59" s="1"/>
      <c r="K59" s="1"/>
      <c r="L59" s="1"/>
      <c r="M59" s="1"/>
      <c r="N59" s="1"/>
      <c r="O59" s="1"/>
      <c r="P59" s="1"/>
      <c r="Q59" s="1"/>
      <c r="R59" s="1"/>
      <c r="S59" s="1"/>
      <c r="T59" s="1"/>
      <c r="U59" s="1"/>
      <c r="V59" s="1"/>
      <c r="W59" s="1"/>
      <c r="X59" s="1"/>
      <c r="Y59" s="1"/>
      <c r="Z59" s="1"/>
      <c r="AA59" s="1"/>
      <c r="AB59" s="1"/>
      <c r="AC59" s="7" t="s">
        <v>62</v>
      </c>
      <c r="AD59" s="7">
        <v>4.8918676761282747</v>
      </c>
      <c r="AE59" s="7">
        <v>5.2993956805137472</v>
      </c>
      <c r="AF59" s="7">
        <v>5.700152136033644</v>
      </c>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row>
    <row r="60" spans="1:58">
      <c r="A60" s="7" t="s">
        <v>62</v>
      </c>
      <c r="B60" s="7">
        <v>414.97951420628556</v>
      </c>
      <c r="C60" s="7">
        <v>84.830486366451737</v>
      </c>
      <c r="D60" s="7">
        <v>440.20753671111146</v>
      </c>
      <c r="E60" s="7">
        <v>83.067497361970098</v>
      </c>
      <c r="F60" s="7">
        <v>437.61807367156007</v>
      </c>
      <c r="G60" s="7">
        <v>76.773051530527979</v>
      </c>
      <c r="H60" s="1"/>
      <c r="I60" s="1"/>
      <c r="J60" s="1"/>
      <c r="K60" s="1"/>
      <c r="L60" s="1"/>
      <c r="M60" s="1"/>
      <c r="N60" s="1"/>
      <c r="O60" s="1"/>
      <c r="P60" s="1"/>
      <c r="Q60" s="1"/>
      <c r="R60" s="1"/>
      <c r="S60" s="1"/>
      <c r="T60" s="1"/>
      <c r="U60" s="1"/>
      <c r="V60" s="1"/>
      <c r="W60" s="1"/>
      <c r="X60" s="1"/>
      <c r="Y60" s="1"/>
      <c r="Z60" s="1"/>
      <c r="AA60" s="1"/>
      <c r="AB60" s="1"/>
      <c r="AC60" s="7" t="s">
        <v>63</v>
      </c>
      <c r="AD60" s="7">
        <v>3.973203837444641</v>
      </c>
      <c r="AE60" s="7">
        <v>4.6310718202474837</v>
      </c>
      <c r="AF60" s="7">
        <v>4.272128318773893</v>
      </c>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row>
    <row r="61" spans="1:58">
      <c r="A61" s="7" t="s">
        <v>63</v>
      </c>
      <c r="B61" s="7">
        <v>448.23476010986792</v>
      </c>
      <c r="C61" s="7">
        <v>112.81443853586664</v>
      </c>
      <c r="D61" s="7">
        <v>471.7244150486564</v>
      </c>
      <c r="E61" s="7">
        <v>101.86074268730462</v>
      </c>
      <c r="F61" s="7">
        <v>456.59032278179876</v>
      </c>
      <c r="G61" s="7">
        <v>106.87654693687685</v>
      </c>
      <c r="H61" s="1"/>
      <c r="I61" s="1"/>
      <c r="J61" s="1"/>
      <c r="K61" s="1"/>
      <c r="L61" s="1"/>
      <c r="M61" s="1"/>
      <c r="N61" s="1"/>
      <c r="O61" s="1"/>
      <c r="P61" s="1"/>
      <c r="Q61" s="1"/>
      <c r="R61" s="1"/>
      <c r="S61" s="1"/>
      <c r="T61" s="1"/>
      <c r="U61" s="1"/>
      <c r="V61" s="1"/>
      <c r="W61" s="1"/>
      <c r="X61" s="1"/>
      <c r="Y61" s="1"/>
      <c r="Z61" s="1"/>
      <c r="AA61" s="1"/>
      <c r="AB61" s="1"/>
      <c r="AC61" s="7" t="s">
        <v>64</v>
      </c>
      <c r="AD61" s="7">
        <v>4.5433125304742079</v>
      </c>
      <c r="AE61" s="7">
        <v>4.4542036281739277</v>
      </c>
      <c r="AF61" s="7">
        <v>4.8168067418454799</v>
      </c>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row>
    <row r="62" spans="1:58">
      <c r="A62" s="7" t="s">
        <v>64</v>
      </c>
      <c r="B62" s="7">
        <v>423.99296573788729</v>
      </c>
      <c r="C62" s="7">
        <v>93.322430031823728</v>
      </c>
      <c r="D62" s="7">
        <v>420.60399887256983</v>
      </c>
      <c r="E62" s="7">
        <v>94.428551988990051</v>
      </c>
      <c r="F62" s="7">
        <v>428.48526680661701</v>
      </c>
      <c r="G62" s="7">
        <v>88.956291952549861</v>
      </c>
      <c r="H62" s="1"/>
      <c r="I62" s="1"/>
      <c r="J62" s="1"/>
      <c r="K62" s="1"/>
      <c r="L62" s="1"/>
      <c r="M62" s="1"/>
      <c r="N62" s="1"/>
      <c r="O62" s="1"/>
      <c r="P62" s="1"/>
      <c r="Q62" s="1"/>
      <c r="R62" s="1"/>
      <c r="S62" s="1"/>
      <c r="T62" s="1"/>
      <c r="U62" s="1"/>
      <c r="V62" s="1"/>
      <c r="W62" s="1"/>
      <c r="X62" s="1"/>
      <c r="Y62" s="1"/>
      <c r="Z62" s="1"/>
      <c r="AA62" s="1"/>
      <c r="AB62" s="1"/>
      <c r="AC62" s="7" t="s">
        <v>65</v>
      </c>
      <c r="AD62" s="7">
        <v>4.8952688087361214</v>
      </c>
      <c r="AE62" s="7">
        <v>5.1583942377348642</v>
      </c>
      <c r="AF62" s="7">
        <v>5.1010554393760055</v>
      </c>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row>
    <row r="63" spans="1:58">
      <c r="A63" s="7" t="s">
        <v>65</v>
      </c>
      <c r="B63" s="7">
        <v>421.05757319802069</v>
      </c>
      <c r="C63" s="7">
        <v>86.013166926931419</v>
      </c>
      <c r="D63" s="7">
        <v>429.61154242607859</v>
      </c>
      <c r="E63" s="7">
        <v>83.283968348787567</v>
      </c>
      <c r="F63" s="7">
        <v>415.17223115627161</v>
      </c>
      <c r="G63" s="7">
        <v>81.389476372179601</v>
      </c>
      <c r="H63" s="1"/>
      <c r="I63" s="1"/>
      <c r="J63" s="1"/>
      <c r="K63" s="1"/>
      <c r="L63" s="1"/>
      <c r="M63" s="1"/>
      <c r="N63" s="1"/>
      <c r="O63" s="1"/>
      <c r="P63" s="1"/>
      <c r="Q63" s="1"/>
      <c r="R63" s="1"/>
      <c r="S63" s="1"/>
      <c r="T63" s="1"/>
      <c r="U63" s="1"/>
      <c r="V63" s="1"/>
      <c r="W63" s="1"/>
      <c r="X63" s="1"/>
      <c r="Y63" s="1"/>
      <c r="Z63" s="1"/>
      <c r="AA63" s="1"/>
      <c r="AB63" s="1"/>
      <c r="AC63" s="7" t="s">
        <v>66</v>
      </c>
      <c r="AD63" s="7">
        <v>4.8161712601378497</v>
      </c>
      <c r="AE63" s="7">
        <v>4.8318575943452595</v>
      </c>
      <c r="AF63" s="7">
        <v>5.6251799426416937</v>
      </c>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row>
    <row r="64" spans="1:58">
      <c r="A64" s="7" t="s">
        <v>66</v>
      </c>
      <c r="B64" s="7">
        <v>359.3878862166863</v>
      </c>
      <c r="C64" s="7">
        <v>74.621076951985259</v>
      </c>
      <c r="D64" s="7">
        <v>367.72735266586551</v>
      </c>
      <c r="E64" s="7">
        <v>76.10475794986553</v>
      </c>
      <c r="F64" s="7">
        <v>376.59688926497472</v>
      </c>
      <c r="G64" s="7">
        <v>66.948416424900628</v>
      </c>
      <c r="H64" s="1"/>
      <c r="I64" s="1"/>
      <c r="J64" s="1"/>
      <c r="K64" s="1"/>
      <c r="L64" s="1"/>
      <c r="M64" s="1"/>
      <c r="N64" s="1"/>
      <c r="O64" s="1"/>
      <c r="P64" s="1"/>
      <c r="Q64" s="1"/>
      <c r="R64" s="1"/>
      <c r="S64" s="1"/>
      <c r="T64" s="1"/>
      <c r="U64" s="1"/>
      <c r="V64" s="1"/>
      <c r="W64" s="1"/>
      <c r="X64" s="1"/>
      <c r="Y64" s="1"/>
      <c r="Z64" s="1"/>
      <c r="AA64" s="1"/>
      <c r="AB64" s="1"/>
      <c r="AC64" s="7" t="s">
        <v>67</v>
      </c>
      <c r="AD64" s="7">
        <v>4.1637955076823925</v>
      </c>
      <c r="AE64" s="7">
        <v>4.2189103020141374</v>
      </c>
      <c r="AF64" s="7">
        <v>4.4994466882571835</v>
      </c>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row>
    <row r="65" spans="1:58">
      <c r="A65" s="7" t="s">
        <v>67</v>
      </c>
      <c r="B65" s="7">
        <v>392.66776940308341</v>
      </c>
      <c r="C65" s="7">
        <v>94.3052483433909</v>
      </c>
      <c r="D65" s="7">
        <v>394.44682990594123</v>
      </c>
      <c r="E65" s="7">
        <v>93.494955253642047</v>
      </c>
      <c r="F65" s="7">
        <v>413.04467363207362</v>
      </c>
      <c r="G65" s="7">
        <v>91.798992687268054</v>
      </c>
      <c r="H65" s="1"/>
      <c r="I65" s="1"/>
      <c r="J65" s="1"/>
      <c r="K65" s="1"/>
      <c r="L65" s="1"/>
      <c r="M65" s="1"/>
      <c r="N65" s="1"/>
      <c r="O65" s="1"/>
      <c r="P65" s="1"/>
      <c r="Q65" s="1"/>
      <c r="R65" s="1"/>
      <c r="S65" s="1"/>
      <c r="T65" s="1"/>
      <c r="U65" s="1"/>
      <c r="V65" s="1"/>
      <c r="W65" s="1"/>
      <c r="X65" s="1"/>
      <c r="Y65" s="1"/>
      <c r="Z65" s="1"/>
      <c r="AA65" s="1"/>
      <c r="AB65" s="1"/>
      <c r="AC65" s="7" t="s">
        <v>68</v>
      </c>
      <c r="AD65" s="7">
        <v>4.2938469822664116</v>
      </c>
      <c r="AE65" s="7">
        <v>4.5545601499914179</v>
      </c>
      <c r="AF65" s="7">
        <v>4.2675185092227128</v>
      </c>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row>
    <row r="66" spans="1:58">
      <c r="A66" s="7" t="s">
        <v>68</v>
      </c>
      <c r="B66" s="7">
        <v>376.97131666197612</v>
      </c>
      <c r="C66" s="7">
        <v>87.793374616950189</v>
      </c>
      <c r="D66" s="7">
        <v>352.84625573702897</v>
      </c>
      <c r="E66" s="7">
        <v>77.470983830940042</v>
      </c>
      <c r="F66" s="7">
        <v>364.62377248553207</v>
      </c>
      <c r="G66" s="7">
        <v>85.441638202043734</v>
      </c>
      <c r="H66" s="1"/>
      <c r="I66" s="1"/>
      <c r="J66" s="1"/>
      <c r="K66" s="1"/>
      <c r="L66" s="1"/>
      <c r="M66" s="1"/>
      <c r="N66" s="1"/>
      <c r="O66" s="1"/>
      <c r="P66" s="1"/>
      <c r="Q66" s="1"/>
      <c r="R66" s="1"/>
      <c r="S66" s="1"/>
      <c r="T66" s="1"/>
      <c r="U66" s="1"/>
      <c r="V66" s="1"/>
      <c r="W66" s="1"/>
      <c r="X66" s="1"/>
      <c r="Y66" s="1"/>
      <c r="Z66" s="1"/>
      <c r="AA66" s="1"/>
      <c r="AB66" s="1"/>
      <c r="AC66" s="7" t="s">
        <v>69</v>
      </c>
      <c r="AD66" s="7">
        <v>4.3624077811337791</v>
      </c>
      <c r="AE66" s="7">
        <v>4.7363170520557807</v>
      </c>
      <c r="AF66" s="7">
        <v>5.044219566453946</v>
      </c>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row>
    <row r="67" spans="1:58">
      <c r="A67" s="7" t="s">
        <v>69</v>
      </c>
      <c r="B67" s="7">
        <v>400.51370593416982</v>
      </c>
      <c r="C67" s="7">
        <v>91.810240130755801</v>
      </c>
      <c r="D67" s="7">
        <v>399.83767481282183</v>
      </c>
      <c r="E67" s="7">
        <v>84.419533240342048</v>
      </c>
      <c r="F67" s="7">
        <v>404.21560133019642</v>
      </c>
      <c r="G67" s="7">
        <v>80.134418417943181</v>
      </c>
      <c r="H67" s="1"/>
      <c r="I67" s="1"/>
      <c r="J67" s="1"/>
      <c r="K67" s="1"/>
      <c r="L67" s="1"/>
      <c r="M67" s="1"/>
      <c r="N67" s="1"/>
      <c r="O67" s="1"/>
      <c r="P67" s="1"/>
      <c r="Q67" s="1"/>
      <c r="R67" s="1"/>
      <c r="S67" s="1"/>
      <c r="T67" s="1"/>
      <c r="U67" s="1"/>
      <c r="V67" s="1"/>
      <c r="W67" s="1"/>
      <c r="X67" s="1"/>
      <c r="Y67" s="1"/>
      <c r="Z67" s="1"/>
      <c r="AA67" s="1"/>
      <c r="AB67" s="1"/>
      <c r="AC67" s="7" t="s">
        <v>70</v>
      </c>
      <c r="AD67" s="7">
        <v>4.2532393896880345</v>
      </c>
      <c r="AE67" s="7">
        <v>4.4927839675096628</v>
      </c>
      <c r="AF67" s="7">
        <v>4.7488595161241989</v>
      </c>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row>
    <row r="68" spans="1:58">
      <c r="A68" s="7" t="s">
        <v>70</v>
      </c>
      <c r="B68" s="7">
        <v>339.69158997901422</v>
      </c>
      <c r="C68" s="7">
        <v>79.866557899984514</v>
      </c>
      <c r="D68" s="7">
        <v>352.56706710002618</v>
      </c>
      <c r="E68" s="7">
        <v>78.474075239244826</v>
      </c>
      <c r="F68" s="7">
        <v>356.93332361925559</v>
      </c>
      <c r="G68" s="7">
        <v>75.161904117679228</v>
      </c>
      <c r="H68" s="1"/>
      <c r="I68" s="1"/>
      <c r="J68" s="1"/>
      <c r="K68" s="1"/>
      <c r="L68" s="1"/>
      <c r="M68" s="1"/>
      <c r="N68" s="1"/>
      <c r="O68" s="1"/>
      <c r="P68" s="1"/>
      <c r="Q68" s="1"/>
      <c r="R68" s="1"/>
      <c r="S68" s="1"/>
      <c r="T68" s="1"/>
      <c r="U68" s="1"/>
      <c r="V68" s="1"/>
      <c r="W68" s="1"/>
      <c r="X68" s="1"/>
      <c r="Y68" s="1"/>
      <c r="Z68" s="1"/>
      <c r="AA68" s="1"/>
      <c r="AB68" s="1"/>
      <c r="AC68" s="7" t="s">
        <v>71</v>
      </c>
      <c r="AD68" s="7">
        <v>3.7138265662445411</v>
      </c>
      <c r="AE68" s="7">
        <v>4.2229102564434076</v>
      </c>
      <c r="AF68" s="7">
        <v>4.067297608873826</v>
      </c>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row>
    <row r="69" spans="1:58">
      <c r="A69" s="7" t="s">
        <v>71</v>
      </c>
      <c r="B69" s="7">
        <v>407.09179209025712</v>
      </c>
      <c r="C69" s="7">
        <v>109.61518660843456</v>
      </c>
      <c r="D69" s="7">
        <v>414.22871767426824</v>
      </c>
      <c r="E69" s="7">
        <v>98.090817118888367</v>
      </c>
      <c r="F69" s="7">
        <v>419.12715488324943</v>
      </c>
      <c r="G69" s="7">
        <v>103.0480666004914</v>
      </c>
      <c r="H69" s="1"/>
      <c r="I69" s="1"/>
      <c r="J69" s="1"/>
      <c r="K69" s="1"/>
      <c r="L69" s="1"/>
      <c r="M69" s="1"/>
      <c r="N69" s="1"/>
      <c r="O69" s="1"/>
      <c r="P69" s="1"/>
      <c r="Q69" s="1"/>
      <c r="R69" s="1"/>
      <c r="S69" s="1"/>
      <c r="T69" s="1"/>
      <c r="U69" s="1"/>
      <c r="V69" s="1"/>
      <c r="W69" s="1"/>
      <c r="X69" s="1"/>
      <c r="Y69" s="1"/>
      <c r="Z69" s="1"/>
      <c r="AA69" s="1"/>
      <c r="AB69" s="1"/>
      <c r="AC69" s="7" t="s">
        <v>72</v>
      </c>
      <c r="AD69" s="7">
        <v>4.347488169654846</v>
      </c>
      <c r="AE69" s="7">
        <v>4.571710390064796</v>
      </c>
      <c r="AF69" s="7">
        <v>4.7237371724505275</v>
      </c>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row>
    <row r="70" spans="1:58">
      <c r="A70" s="7" t="s">
        <v>72</v>
      </c>
      <c r="B70" s="7">
        <v>427.70314585064472</v>
      </c>
      <c r="C70" s="7">
        <v>98.379369686611653</v>
      </c>
      <c r="D70" s="7">
        <v>429.91682707446563</v>
      </c>
      <c r="E70" s="7">
        <v>94.038508652857232</v>
      </c>
      <c r="F70" s="7">
        <v>425.76122708517244</v>
      </c>
      <c r="G70" s="7">
        <v>90.132285421862449</v>
      </c>
      <c r="H70" s="1"/>
      <c r="I70" s="1"/>
      <c r="J70" s="1"/>
      <c r="K70" s="1"/>
      <c r="L70" s="1"/>
      <c r="M70" s="1"/>
      <c r="N70" s="1"/>
      <c r="O70" s="1"/>
      <c r="P70" s="1"/>
      <c r="Q70" s="1"/>
      <c r="R70" s="1"/>
      <c r="S70" s="1"/>
      <c r="T70" s="1"/>
      <c r="U70" s="1"/>
      <c r="V70" s="1"/>
      <c r="W70" s="1"/>
      <c r="X70" s="1"/>
      <c r="Y70" s="1"/>
      <c r="Z70" s="1"/>
      <c r="AA70" s="1"/>
      <c r="AB70" s="1"/>
      <c r="AC70" s="7" t="s">
        <v>73</v>
      </c>
      <c r="AD70" s="7">
        <v>5.1509092398090326</v>
      </c>
      <c r="AE70" s="7">
        <v>5.6697578302351728</v>
      </c>
      <c r="AF70" s="7">
        <v>5.6929690800786847</v>
      </c>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row>
    <row r="71" spans="1:58">
      <c r="A71" s="7" t="s">
        <v>73</v>
      </c>
      <c r="B71" s="7">
        <v>478.50193399494424</v>
      </c>
      <c r="C71" s="7">
        <v>92.896595866380366</v>
      </c>
      <c r="D71" s="7">
        <v>487.78653873432705</v>
      </c>
      <c r="E71" s="7">
        <v>86.033046443906827</v>
      </c>
      <c r="F71" s="7">
        <v>477.71767976295882</v>
      </c>
      <c r="G71" s="7">
        <v>83.913626271856742</v>
      </c>
      <c r="H71" s="1"/>
      <c r="I71" s="1"/>
      <c r="J71" s="1"/>
      <c r="K71" s="1"/>
      <c r="L71" s="1"/>
      <c r="M71" s="1"/>
      <c r="N71" s="1"/>
      <c r="O71" s="1"/>
      <c r="P71" s="1"/>
      <c r="Q71" s="1"/>
      <c r="R71" s="1"/>
      <c r="S71" s="1"/>
      <c r="T71" s="1"/>
      <c r="U71" s="1"/>
      <c r="V71" s="1"/>
      <c r="W71" s="1"/>
      <c r="X71" s="1"/>
      <c r="Y71" s="1"/>
      <c r="Z71" s="1"/>
      <c r="AA71" s="1"/>
      <c r="AB71" s="1"/>
      <c r="AC71" s="7" t="s">
        <v>74</v>
      </c>
      <c r="AD71" s="7">
        <v>4.7303597256940408</v>
      </c>
      <c r="AE71" s="7">
        <v>4.7429470744728723</v>
      </c>
      <c r="AF71" s="7">
        <v>4.9092740193563209</v>
      </c>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row>
    <row r="72" spans="1:58">
      <c r="A72" s="7" t="s">
        <v>74</v>
      </c>
      <c r="B72" s="7">
        <v>399.15165857859211</v>
      </c>
      <c r="C72" s="7">
        <v>84.380825502658439</v>
      </c>
      <c r="D72" s="7">
        <v>373.23880574054249</v>
      </c>
      <c r="E72" s="7">
        <v>78.69343677675846</v>
      </c>
      <c r="F72" s="7">
        <v>386.24614496617278</v>
      </c>
      <c r="G72" s="7">
        <v>78.676835606095466</v>
      </c>
      <c r="H72" s="1"/>
      <c r="I72" s="1"/>
      <c r="J72" s="1"/>
      <c r="K72" s="1"/>
      <c r="L72" s="1"/>
      <c r="M72" s="1"/>
      <c r="N72" s="1"/>
      <c r="O72" s="1"/>
      <c r="P72" s="1"/>
      <c r="Q72" s="1"/>
      <c r="R72" s="1"/>
      <c r="S72" s="1"/>
      <c r="T72" s="1"/>
      <c r="U72" s="1"/>
      <c r="V72" s="1"/>
      <c r="W72" s="1"/>
      <c r="X72" s="1"/>
      <c r="Y72" s="1"/>
      <c r="Z72" s="1"/>
      <c r="AA72" s="1"/>
      <c r="AB72" s="1"/>
      <c r="AC72" s="7" t="s">
        <v>75</v>
      </c>
      <c r="AD72" s="7">
        <v>4.5578257257739008</v>
      </c>
      <c r="AE72" s="7">
        <v>4.6361104134738413</v>
      </c>
      <c r="AF72" s="7">
        <v>4.8027264962187122</v>
      </c>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row>
    <row r="73" spans="1:58">
      <c r="A73" s="7" t="s">
        <v>75</v>
      </c>
      <c r="B73" s="7">
        <v>439.46634120605881</v>
      </c>
      <c r="C73" s="7">
        <v>96.420172171334869</v>
      </c>
      <c r="D73" s="7">
        <v>448.2830562982835</v>
      </c>
      <c r="E73" s="7">
        <v>96.693783434373515</v>
      </c>
      <c r="F73" s="7">
        <v>439.87388946262348</v>
      </c>
      <c r="G73" s="7">
        <v>91.588369608168492</v>
      </c>
      <c r="H73" s="1"/>
      <c r="I73" s="1"/>
      <c r="J73" s="1"/>
      <c r="K73" s="1"/>
      <c r="L73" s="1"/>
      <c r="M73" s="1"/>
      <c r="N73" s="1"/>
      <c r="O73" s="1"/>
      <c r="P73" s="1"/>
      <c r="Q73" s="1"/>
      <c r="R73" s="1"/>
      <c r="S73" s="1"/>
      <c r="T73" s="1"/>
      <c r="U73" s="1"/>
      <c r="V73" s="1"/>
      <c r="W73" s="1"/>
      <c r="X73" s="1"/>
      <c r="Y73" s="1"/>
      <c r="Z73" s="1"/>
      <c r="AA73" s="1"/>
      <c r="AB73" s="1"/>
      <c r="AC73" s="7" t="s">
        <v>76</v>
      </c>
      <c r="AD73" s="7">
        <v>5.043467851400675</v>
      </c>
      <c r="AE73" s="7">
        <v>6.0501309434863559</v>
      </c>
      <c r="AF73" s="7">
        <v>5.6530733430676161</v>
      </c>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row>
    <row r="74" spans="1:58">
      <c r="A74" s="7" t="s">
        <v>76</v>
      </c>
      <c r="B74" s="7">
        <v>549.46470779446076</v>
      </c>
      <c r="C74" s="7">
        <v>108.94581347274041</v>
      </c>
      <c r="D74" s="7">
        <v>569.0077798017121</v>
      </c>
      <c r="E74" s="7">
        <v>94.048837143651042</v>
      </c>
      <c r="F74" s="7">
        <v>550.93689998680804</v>
      </c>
      <c r="G74" s="7">
        <v>97.457943060728894</v>
      </c>
      <c r="H74" s="1"/>
      <c r="I74" s="1"/>
      <c r="J74" s="1"/>
      <c r="K74" s="1"/>
      <c r="L74" s="1"/>
      <c r="M74" s="1"/>
      <c r="N74" s="1"/>
      <c r="O74" s="1"/>
      <c r="P74" s="1"/>
      <c r="Q74" s="1"/>
      <c r="R74" s="1"/>
      <c r="S74" s="1"/>
      <c r="T74" s="1"/>
      <c r="U74" s="1"/>
      <c r="V74" s="1"/>
      <c r="W74" s="1"/>
      <c r="X74" s="1"/>
      <c r="Y74" s="1"/>
      <c r="Z74" s="1"/>
      <c r="AA74" s="1"/>
      <c r="AB74" s="1"/>
      <c r="AC74" s="7" t="s">
        <v>77</v>
      </c>
      <c r="AD74" s="7">
        <v>4.9406467818306812</v>
      </c>
      <c r="AE74" s="7">
        <v>5.3274972560878933</v>
      </c>
      <c r="AF74" s="7">
        <v>5.1946432546281684</v>
      </c>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row>
    <row r="75" spans="1:58">
      <c r="A75" s="7" t="s">
        <v>77</v>
      </c>
      <c r="B75" s="7">
        <v>502.60114690242108</v>
      </c>
      <c r="C75" s="7">
        <v>101.72780388809538</v>
      </c>
      <c r="D75" s="7">
        <v>531.14353645305528</v>
      </c>
      <c r="E75" s="7">
        <v>99.698509623088285</v>
      </c>
      <c r="F75" s="7">
        <v>515.74802774857142</v>
      </c>
      <c r="G75" s="7">
        <v>99.284590388197614</v>
      </c>
      <c r="H75" s="1"/>
      <c r="I75" s="1"/>
      <c r="J75" s="1"/>
      <c r="K75" s="1"/>
      <c r="L75" s="1"/>
      <c r="M75" s="1"/>
      <c r="N75" s="1"/>
      <c r="O75" s="1"/>
      <c r="P75" s="1"/>
      <c r="Q75" s="1"/>
      <c r="R75" s="1"/>
      <c r="S75" s="1"/>
      <c r="T75" s="1"/>
      <c r="U75" s="1"/>
      <c r="V75" s="1"/>
      <c r="W75" s="1"/>
      <c r="X75" s="1"/>
      <c r="Y75" s="1"/>
      <c r="Z75" s="1"/>
      <c r="AA75" s="1"/>
      <c r="AB75" s="1"/>
      <c r="AC75" s="7" t="s">
        <v>78</v>
      </c>
      <c r="AD75" s="7">
        <v>4.9782560327754659</v>
      </c>
      <c r="AE75" s="7">
        <v>4.7667145626267855</v>
      </c>
      <c r="AF75" s="7">
        <v>5.2077956509969034</v>
      </c>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row>
    <row r="76" spans="1:58">
      <c r="A76" s="7" t="s">
        <v>78</v>
      </c>
      <c r="B76" s="7">
        <v>392.88864098808062</v>
      </c>
      <c r="C76" s="7">
        <v>78.920939060066431</v>
      </c>
      <c r="D76" s="7">
        <v>418.55550167959967</v>
      </c>
      <c r="E76" s="7">
        <v>87.807964202695402</v>
      </c>
      <c r="F76" s="7">
        <v>425.81344997713569</v>
      </c>
      <c r="G76" s="7">
        <v>81.764623367206099</v>
      </c>
      <c r="H76" s="1"/>
      <c r="I76" s="1"/>
      <c r="J76" s="1"/>
      <c r="K76" s="1"/>
      <c r="L76" s="1"/>
      <c r="M76" s="1"/>
      <c r="N76" s="1"/>
      <c r="O76" s="1"/>
      <c r="P76" s="1"/>
      <c r="Q76" s="1"/>
      <c r="R76" s="1"/>
      <c r="S76" s="1"/>
      <c r="T76" s="1"/>
      <c r="U76" s="1"/>
      <c r="V76" s="1"/>
      <c r="W76" s="1"/>
      <c r="X76" s="1"/>
      <c r="Y76" s="1"/>
      <c r="Z76" s="1"/>
      <c r="AA76" s="1"/>
      <c r="AB76" s="1"/>
      <c r="AC76" s="7" t="s">
        <v>79</v>
      </c>
      <c r="AD76" s="7">
        <v>4.9919418232210182</v>
      </c>
      <c r="AE76" s="7">
        <v>4.8215153496386574</v>
      </c>
      <c r="AF76" s="7">
        <v>5.1296477736159121</v>
      </c>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row>
    <row r="77" spans="1:58">
      <c r="A77" s="7" t="s">
        <v>79</v>
      </c>
      <c r="B77" s="7">
        <v>465.95014814029156</v>
      </c>
      <c r="C77" s="7">
        <v>93.340460414188129</v>
      </c>
      <c r="D77" s="7">
        <v>453.11749892793364</v>
      </c>
      <c r="E77" s="7">
        <v>93.978234241625302</v>
      </c>
      <c r="F77" s="7">
        <v>468.98774261240408</v>
      </c>
      <c r="G77" s="7">
        <v>91.426889975685896</v>
      </c>
      <c r="H77" s="1"/>
      <c r="I77" s="1"/>
      <c r="J77" s="1"/>
      <c r="K77" s="1"/>
      <c r="L77" s="1"/>
      <c r="M77" s="1"/>
      <c r="N77" s="1"/>
      <c r="O77" s="1"/>
      <c r="P77" s="1"/>
      <c r="Q77" s="1"/>
      <c r="R77" s="1"/>
      <c r="S77" s="1"/>
      <c r="T77" s="1"/>
      <c r="U77" s="1"/>
      <c r="V77" s="1"/>
      <c r="W77" s="1"/>
      <c r="X77" s="1"/>
      <c r="Y77" s="1"/>
      <c r="Z77" s="1"/>
      <c r="AA77" s="1"/>
      <c r="AB77" s="1"/>
      <c r="AC77" s="7" t="s">
        <v>80</v>
      </c>
      <c r="AD77" s="7">
        <v>3.8102515764809581</v>
      </c>
      <c r="AE77" s="7">
        <v>4.1164079063539534</v>
      </c>
      <c r="AF77" s="7">
        <v>4.2028893642064373</v>
      </c>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row>
    <row r="78" spans="1:58">
      <c r="A78" s="7" t="s">
        <v>80</v>
      </c>
      <c r="B78" s="7">
        <v>431.78176943111998</v>
      </c>
      <c r="C78" s="7">
        <v>113.32106575227812</v>
      </c>
      <c r="D78" s="7">
        <v>434.94725186532128</v>
      </c>
      <c r="E78" s="7">
        <v>105.66184444305212</v>
      </c>
      <c r="F78" s="7">
        <v>433.63680266746826</v>
      </c>
      <c r="G78" s="7">
        <v>103.17587856594574</v>
      </c>
      <c r="H78" s="1"/>
      <c r="I78" s="1"/>
      <c r="J78" s="1"/>
      <c r="K78" s="1"/>
      <c r="L78" s="1"/>
      <c r="M78" s="1"/>
      <c r="N78" s="1"/>
      <c r="O78" s="1"/>
      <c r="P78" s="1"/>
      <c r="Q78" s="1"/>
      <c r="R78" s="1"/>
      <c r="S78" s="1"/>
      <c r="T78" s="1"/>
      <c r="U78" s="1"/>
      <c r="V78" s="1"/>
      <c r="W78" s="1"/>
      <c r="X78" s="1"/>
      <c r="Y78" s="1"/>
      <c r="Z78" s="1"/>
      <c r="AA78" s="1"/>
      <c r="AB78" s="1"/>
      <c r="AC78" s="7" t="s">
        <v>81</v>
      </c>
      <c r="AD78" s="7">
        <v>4.452969148324347</v>
      </c>
      <c r="AE78" s="7">
        <v>4.894402233603202</v>
      </c>
      <c r="AF78" s="7">
        <v>4.9213137846709527</v>
      </c>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row>
    <row r="79" spans="1:58">
      <c r="A79" s="7" t="s">
        <v>81</v>
      </c>
      <c r="B79" s="7">
        <v>427.1176181983505</v>
      </c>
      <c r="C79" s="7">
        <v>95.917488752212648</v>
      </c>
      <c r="D79" s="7">
        <v>417.66161727968966</v>
      </c>
      <c r="E79" s="7">
        <v>85.334551053482187</v>
      </c>
      <c r="F79" s="7">
        <v>425.81267662409067</v>
      </c>
      <c r="G79" s="7">
        <v>86.524187494490604</v>
      </c>
      <c r="H79" s="1"/>
      <c r="I79" s="1"/>
      <c r="J79" s="1"/>
      <c r="K79" s="1"/>
      <c r="L79" s="1"/>
      <c r="M79" s="1"/>
      <c r="N79" s="1"/>
      <c r="O79" s="1"/>
      <c r="P79" s="1"/>
      <c r="Q79" s="1"/>
      <c r="R79" s="1"/>
      <c r="S79" s="1"/>
      <c r="T79" s="1"/>
      <c r="U79" s="1"/>
      <c r="V79" s="1"/>
      <c r="W79" s="1"/>
      <c r="X79" s="1"/>
      <c r="Y79" s="1"/>
      <c r="Z79" s="1"/>
      <c r="AA79" s="1"/>
      <c r="AB79" s="1"/>
      <c r="AC79" s="7" t="s">
        <v>129</v>
      </c>
      <c r="AD79" s="7">
        <v>6.8568020958045004</v>
      </c>
      <c r="AE79" s="7">
        <v>6.627040918885732</v>
      </c>
      <c r="AF79" s="7">
        <v>7.0997877122738728</v>
      </c>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row>
    <row r="80" spans="1:58">
      <c r="A80" s="7" t="s">
        <v>129</v>
      </c>
      <c r="B80" s="7">
        <v>504.50562639136319</v>
      </c>
      <c r="C80" s="7">
        <v>73.577393563693064</v>
      </c>
      <c r="D80" s="7">
        <v>495.67542748277157</v>
      </c>
      <c r="E80" s="7">
        <v>74.795890586731772</v>
      </c>
      <c r="F80" s="7">
        <v>543.38487471456301</v>
      </c>
      <c r="G80" s="7">
        <v>76.535369328744522</v>
      </c>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row>
    <row r="81" spans="1:58">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row>
    <row r="82" spans="1:58">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row>
    <row r="83" spans="1:58">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row>
    <row r="84" spans="1:58">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row>
    <row r="85" spans="1:58">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row>
    <row r="86" spans="1:58">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row>
    <row r="87" spans="1:58">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row>
    <row r="88" spans="1:58">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row>
    <row r="89" spans="1:58">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row>
    <row r="90" spans="1:58">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row>
    <row r="91" spans="1:58">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row>
    <row r="92" spans="1:58">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row>
    <row r="93" spans="1:58">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row>
    <row r="94" spans="1:58">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row>
    <row r="95" spans="1:58">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row>
    <row r="96" spans="1:58">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row>
    <row r="97" spans="1:58">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row>
    <row r="98" spans="1:58">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row>
    <row r="99" spans="1:58">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row>
    <row r="100" spans="1:58">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row>
    <row r="101" spans="1:58">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row>
    <row r="102" spans="1:58">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row>
    <row r="103" spans="1:58">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row>
    <row r="104" spans="1:58">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row>
    <row r="105" spans="1:58">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row>
    <row r="106" spans="1:58">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row>
    <row r="107" spans="1:58">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row>
    <row r="108" spans="1:58">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row>
    <row r="109" spans="1:58">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row>
    <row r="110" spans="1:58">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row>
    <row r="111" spans="1:58">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row>
    <row r="112" spans="1:58">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row>
    <row r="113" spans="1:58">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row>
    <row r="114" spans="1:58">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row>
    <row r="115" spans="1:58">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row>
    <row r="116" spans="1:58">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row>
    <row r="117" spans="1:58">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row>
    <row r="118" spans="1:58">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row>
    <row r="119" spans="1:58">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row>
    <row r="120" spans="1:58">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row>
    <row r="121" spans="1:58">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row>
    <row r="122" spans="1:58">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row>
    <row r="123" spans="1:58">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row>
    <row r="124" spans="1:58">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row>
    <row r="125" spans="1:58">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row>
    <row r="126" spans="1:58">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row>
    <row r="127" spans="1:58">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row>
    <row r="128" spans="1:58">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row>
    <row r="129" spans="1:58">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row>
    <row r="130" spans="1:58">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row>
    <row r="131" spans="1:58">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row>
    <row r="132" spans="1:58">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row>
    <row r="133" spans="1:58">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row>
    <row r="134" spans="1:58">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row>
    <row r="135" spans="1:58">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row>
    <row r="136" spans="1:58">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row>
    <row r="137" spans="1:58">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row>
    <row r="138" spans="1:58">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row>
    <row r="139" spans="1:58">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row>
    <row r="140" spans="1:58">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row>
    <row r="141" spans="1:58">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row>
    <row r="142" spans="1:58">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row>
    <row r="143" spans="1:58">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row>
    <row r="144" spans="1:58">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row>
    <row r="145" spans="1:58">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row>
    <row r="146" spans="1:58">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row>
    <row r="147" spans="1:58">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row>
    <row r="148" spans="1:58">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row>
    <row r="149" spans="1:58">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row>
    <row r="150" spans="1:58">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row>
    <row r="151" spans="1:58">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row>
    <row r="152" spans="1:58">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row>
    <row r="153" spans="1:58">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row>
    <row r="154" spans="1:58">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row>
    <row r="155" spans="1:58">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row>
    <row r="156" spans="1:58">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row>
    <row r="157" spans="1:58">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row>
    <row r="158" spans="1:58">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row>
    <row r="159" spans="1:58">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row>
    <row r="160" spans="1:58">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row>
    <row r="161" spans="1:58">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row>
    <row r="162" spans="1:58">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row>
    <row r="163" spans="1:58">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row>
    <row r="164" spans="1:58">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row>
    <row r="165" spans="1:58">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row>
    <row r="166" spans="1:58">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row>
    <row r="167" spans="1:58">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row>
    <row r="168" spans="1:58">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row>
    <row r="169" spans="1:58">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row>
    <row r="170" spans="1:58">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row>
    <row r="171" spans="1:58">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row>
    <row r="172" spans="1:58">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row>
    <row r="173" spans="1:58">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row>
    <row r="174" spans="1:58">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row>
    <row r="175" spans="1:58">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row>
    <row r="176" spans="1:58">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row>
    <row r="177" spans="1:58">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row>
    <row r="178" spans="1:58">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row>
    <row r="179" spans="1:58">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row>
    <row r="180" spans="1:58">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row>
    <row r="181" spans="1:58">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row>
    <row r="182" spans="1:58">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row>
    <row r="183" spans="1:58">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row>
    <row r="184" spans="1:58">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row>
    <row r="185" spans="1:58">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row>
    <row r="186" spans="1:58">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row>
    <row r="187" spans="1:58">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row>
    <row r="188" spans="1:58">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row>
    <row r="189" spans="1:58">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row>
    <row r="190" spans="1:58">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row>
    <row r="191" spans="1:58">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row>
    <row r="192" spans="1:58">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row>
    <row r="193" spans="1:58">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row>
    <row r="194" spans="1:58">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row>
    <row r="195" spans="1:58">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row>
    <row r="196" spans="1:58">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row>
    <row r="197" spans="1:58">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row>
    <row r="198" spans="1:58">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row>
    <row r="199" spans="1:58">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row>
    <row r="200" spans="1:58">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row>
    <row r="201" spans="1:58">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row>
    <row r="202" spans="1:58">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row>
    <row r="203" spans="1:58">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row>
    <row r="204" spans="1:58">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row>
    <row r="205" spans="1:58">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row>
    <row r="206" spans="1:58">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row>
    <row r="207" spans="1:58">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row>
    <row r="208" spans="1:58">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row>
    <row r="209" spans="1:58">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row>
    <row r="210" spans="1:58">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row>
    <row r="211" spans="1:58">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row>
    <row r="212" spans="1:58">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row>
    <row r="213" spans="1:58">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row>
    <row r="214" spans="1:58">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row>
    <row r="215" spans="1:58">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row>
    <row r="216" spans="1:58">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row>
    <row r="217" spans="1:58">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row>
    <row r="218" spans="1:58">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row>
    <row r="219" spans="1:58">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row>
    <row r="220" spans="1:58">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row>
    <row r="221" spans="1:58">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row>
    <row r="222" spans="1:58">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row>
    <row r="223" spans="1:58">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row>
    <row r="224" spans="1:58">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row>
    <row r="225" spans="1:58">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row>
    <row r="226" spans="1:58">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row>
    <row r="227" spans="1:58">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row>
    <row r="228" spans="1:58">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row>
    <row r="229" spans="1:58">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row>
    <row r="230" spans="1:58">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row>
    <row r="231" spans="1:58">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row>
    <row r="232" spans="1:58">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row>
    <row r="233" spans="1:58">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row>
    <row r="234" spans="1:58">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row>
    <row r="235" spans="1:58">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row>
    <row r="236" spans="1:58">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row>
    <row r="237" spans="1:58">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row>
    <row r="238" spans="1:58">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row>
    <row r="239" spans="1:58">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row>
    <row r="240" spans="1:58">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row>
    <row r="241" spans="1:58">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row>
    <row r="242" spans="1:58">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row>
    <row r="243" spans="1:58">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row>
    <row r="244" spans="1:58">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row>
    <row r="245" spans="1:58">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row>
    <row r="246" spans="1:58">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row>
    <row r="247" spans="1:58">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row>
    <row r="248" spans="1:58">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row>
    <row r="249" spans="1:58">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row>
    <row r="250" spans="1:58">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row>
    <row r="251" spans="1:58">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row>
    <row r="252" spans="1:58">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row>
    <row r="253" spans="1:58">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row>
    <row r="254" spans="1:58">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row>
    <row r="255" spans="1:58">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row>
    <row r="256" spans="1:58">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row>
    <row r="257" spans="1:58">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row>
    <row r="258" spans="1:58">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row>
    <row r="259" spans="1:58">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row>
    <row r="260" spans="1:58">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row>
    <row r="261" spans="1:58">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row>
    <row r="262" spans="1:58">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row>
    <row r="263" spans="1:58">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row>
    <row r="264" spans="1:58">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row>
    <row r="265" spans="1:58">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row>
    <row r="266" spans="1:58">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row>
    <row r="267" spans="1:58">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row>
    <row r="268" spans="1:58">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row>
    <row r="269" spans="1:58">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row>
    <row r="270" spans="1:58">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row>
    <row r="271" spans="1:58">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row>
    <row r="272" spans="1:58">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row>
    <row r="273" spans="1:58">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row>
    <row r="274" spans="1:58">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row>
    <row r="275" spans="1:58">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row>
    <row r="276" spans="1:58">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row>
    <row r="277" spans="1:58">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row>
    <row r="278" spans="1:58">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row>
    <row r="279" spans="1:58">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row>
    <row r="280" spans="1:58">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row>
    <row r="281" spans="1:58">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row>
    <row r="282" spans="1:58">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row>
    <row r="283" spans="1:58">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row>
    <row r="284" spans="1:58">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row>
    <row r="285" spans="1:58">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row>
    <row r="286" spans="1:58">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row>
    <row r="287" spans="1:58">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row>
    <row r="288" spans="1:58">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row>
    <row r="289" spans="1:58">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row>
    <row r="290" spans="1:58">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row>
    <row r="291" spans="1:58">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row>
    <row r="292" spans="1:58">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row>
    <row r="293" spans="1:58">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row>
    <row r="294" spans="1:58">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row>
    <row r="295" spans="1:58">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row>
    <row r="296" spans="1:58">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row>
    <row r="297" spans="1:58">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row>
    <row r="298" spans="1:58">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row>
    <row r="299" spans="1:58">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row>
    <row r="300" spans="1:58">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row>
    <row r="301" spans="1:58">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row>
    <row r="302" spans="1:58">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row>
    <row r="303" spans="1:58">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row>
    <row r="304" spans="1:58">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row>
    <row r="305" spans="1:58">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row>
    <row r="306" spans="1:58">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row>
    <row r="307" spans="1:58">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row>
    <row r="308" spans="1:58">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row>
    <row r="309" spans="1:58">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row>
    <row r="310" spans="1:58">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row>
    <row r="311" spans="1:58">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row>
    <row r="312" spans="1:58">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row>
    <row r="313" spans="1:58">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row>
    <row r="314" spans="1:58">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row>
  </sheetData>
  <mergeCells count="5">
    <mergeCell ref="Q47:V47"/>
    <mergeCell ref="A1:A2"/>
    <mergeCell ref="B1:C1"/>
    <mergeCell ref="D1:E1"/>
    <mergeCell ref="F1:G1"/>
  </mergeCells>
  <pageMargins left="0.7" right="0.7" top="0.75" bottom="0.75" header="0.3" footer="0.3"/>
  <drawing r:id="rId1"/>
  <legacyDrawing r:id="rId2"/>
  <controls>
    <mc:AlternateContent xmlns:mc="http://schemas.openxmlformats.org/markup-compatibility/2006">
      <mc:Choice Requires="x14">
        <control shapeId="6145" r:id="rId3" name="ListBox1">
          <controlPr locked="0" defaultSize="0" autoLine="0" autoPict="0" linkedCell="N6" listFillRange="ÜLKELERORT" r:id="rId4">
            <anchor moveWithCells="1">
              <from>
                <xdr:col>7</xdr:col>
                <xdr:colOff>76200</xdr:colOff>
                <xdr:row>0</xdr:row>
                <xdr:rowOff>68580</xdr:rowOff>
              </from>
              <to>
                <xdr:col>10</xdr:col>
                <xdr:colOff>266700</xdr:colOff>
                <xdr:row>44</xdr:row>
                <xdr:rowOff>38100</xdr:rowOff>
              </to>
            </anchor>
          </controlPr>
        </control>
      </mc:Choice>
      <mc:Fallback>
        <control shapeId="6145" r:id="rId3" name="ListBox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65120-2DC5-4A14-ADBD-CA6C78B25EBA}">
  <sheetPr codeName="Sayfa8"/>
  <dimension ref="A1:BL384"/>
  <sheetViews>
    <sheetView zoomScale="70" zoomScaleNormal="70" workbookViewId="0">
      <selection sqref="A1:E1"/>
    </sheetView>
  </sheetViews>
  <sheetFormatPr defaultRowHeight="14.4"/>
  <cols>
    <col min="9" max="9" width="13.5546875" bestFit="1" customWidth="1"/>
    <col min="19" max="19" width="10.6640625" customWidth="1"/>
    <col min="29" max="29" width="11.21875" customWidth="1"/>
  </cols>
  <sheetData>
    <row r="1" spans="1:64">
      <c r="A1" s="157" t="s">
        <v>153</v>
      </c>
      <c r="B1" s="157"/>
      <c r="C1" s="157"/>
      <c r="D1" s="157"/>
      <c r="E1" s="157"/>
      <c r="F1" s="1"/>
      <c r="G1" s="1"/>
      <c r="H1" s="1"/>
      <c r="I1" s="1"/>
      <c r="J1" s="1"/>
      <c r="K1" s="1"/>
      <c r="L1" s="1"/>
      <c r="M1" s="1"/>
      <c r="N1" s="1"/>
      <c r="O1" s="1"/>
      <c r="P1" s="1"/>
      <c r="Q1" s="1"/>
      <c r="R1" s="1"/>
      <c r="S1" s="1"/>
      <c r="T1" s="1"/>
      <c r="U1" s="157" t="s">
        <v>160</v>
      </c>
      <c r="V1" s="157"/>
      <c r="W1" s="157"/>
      <c r="X1" s="157"/>
      <c r="Y1" s="157"/>
      <c r="Z1" s="157"/>
      <c r="AA1" s="157"/>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row>
    <row r="2" spans="1:64" ht="46.8">
      <c r="A2" s="159" t="s">
        <v>84</v>
      </c>
      <c r="B2" s="159"/>
      <c r="C2" s="13" t="s">
        <v>130</v>
      </c>
      <c r="D2" s="14" t="s">
        <v>132</v>
      </c>
      <c r="E2" s="15" t="s">
        <v>134</v>
      </c>
      <c r="F2" s="1"/>
      <c r="G2" s="1"/>
      <c r="H2" s="1"/>
      <c r="I2" s="1"/>
      <c r="J2" s="1"/>
      <c r="K2" s="1"/>
      <c r="L2" s="1"/>
      <c r="M2" s="1"/>
      <c r="N2" s="1"/>
      <c r="O2" s="1"/>
      <c r="P2" s="1"/>
      <c r="Q2" s="1"/>
      <c r="R2" s="1"/>
      <c r="S2" s="1"/>
      <c r="T2" s="1"/>
      <c r="U2" s="158" t="s">
        <v>220</v>
      </c>
      <c r="V2" s="158"/>
      <c r="W2" s="160" t="s">
        <v>161</v>
      </c>
      <c r="X2" s="161"/>
      <c r="Y2" s="44" t="s">
        <v>162</v>
      </c>
      <c r="Z2" s="161" t="s">
        <v>163</v>
      </c>
      <c r="AA2" s="163" t="s">
        <v>141</v>
      </c>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row>
    <row r="3" spans="1:64" ht="22.8">
      <c r="A3" s="166" t="s">
        <v>130</v>
      </c>
      <c r="B3" s="16" t="s">
        <v>154</v>
      </c>
      <c r="C3" s="32">
        <v>1</v>
      </c>
      <c r="D3" s="33" t="s">
        <v>155</v>
      </c>
      <c r="E3" s="34" t="s">
        <v>156</v>
      </c>
      <c r="F3" s="1"/>
      <c r="G3" s="1"/>
      <c r="H3" s="1"/>
      <c r="I3" s="1"/>
      <c r="J3" s="1"/>
      <c r="K3" s="1"/>
      <c r="L3" s="1"/>
      <c r="M3" s="1"/>
      <c r="N3" s="1"/>
      <c r="O3" s="1"/>
      <c r="P3" s="1"/>
      <c r="Q3" s="1"/>
      <c r="R3" s="1"/>
      <c r="S3" s="1"/>
      <c r="T3" s="1"/>
      <c r="U3" s="159"/>
      <c r="V3" s="159"/>
      <c r="W3" s="13" t="s">
        <v>164</v>
      </c>
      <c r="X3" s="14" t="s">
        <v>165</v>
      </c>
      <c r="Y3" s="14" t="s">
        <v>166</v>
      </c>
      <c r="Z3" s="162"/>
      <c r="AA3" s="164"/>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row>
    <row r="4" spans="1:64" ht="22.8">
      <c r="A4" s="155"/>
      <c r="B4" s="20" t="s">
        <v>157</v>
      </c>
      <c r="C4" s="35"/>
      <c r="D4" s="23">
        <v>2.1899326656474659E-39</v>
      </c>
      <c r="E4" s="28">
        <v>5.1651427358400465E-52</v>
      </c>
      <c r="F4" s="1"/>
      <c r="G4" s="1"/>
      <c r="H4" s="1"/>
      <c r="I4" s="1"/>
      <c r="J4" s="1"/>
      <c r="K4" s="1"/>
      <c r="L4" s="1"/>
      <c r="M4" s="1"/>
      <c r="N4" s="1"/>
      <c r="O4" s="1"/>
      <c r="P4" s="1"/>
      <c r="Q4" s="1"/>
      <c r="R4" s="1"/>
      <c r="S4" s="1"/>
      <c r="T4" s="1"/>
      <c r="U4" s="165" t="s">
        <v>167</v>
      </c>
      <c r="V4" s="16" t="s">
        <v>168</v>
      </c>
      <c r="W4" s="17">
        <v>-16.732812623165273</v>
      </c>
      <c r="X4" s="18">
        <v>14.426634036215379</v>
      </c>
      <c r="Y4" s="45"/>
      <c r="Z4" s="18">
        <v>-1.1598556240603777</v>
      </c>
      <c r="AA4" s="19">
        <v>0.24973841548917375</v>
      </c>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row>
    <row r="5" spans="1:64" ht="22.8">
      <c r="A5" s="154"/>
      <c r="B5" s="26" t="s">
        <v>158</v>
      </c>
      <c r="C5" s="36">
        <v>78</v>
      </c>
      <c r="D5" s="27">
        <v>78</v>
      </c>
      <c r="E5" s="37">
        <v>78</v>
      </c>
      <c r="F5" s="1"/>
      <c r="G5" s="1"/>
      <c r="H5" s="1"/>
      <c r="I5" s="1"/>
      <c r="J5" s="1"/>
      <c r="K5" s="1"/>
      <c r="L5" s="1"/>
      <c r="M5" s="1"/>
      <c r="N5" s="1"/>
      <c r="O5" s="1"/>
      <c r="P5" s="1"/>
      <c r="Q5" s="1"/>
      <c r="R5" s="1"/>
      <c r="S5" s="1"/>
      <c r="T5" s="1"/>
      <c r="U5" s="156"/>
      <c r="V5" s="29" t="s">
        <v>134</v>
      </c>
      <c r="W5" s="30">
        <v>1.0367299081753791</v>
      </c>
      <c r="X5" s="46">
        <v>3.1247832949011883E-2</v>
      </c>
      <c r="Y5" s="46">
        <v>0.96716892099499352</v>
      </c>
      <c r="Z5" s="46">
        <v>33.17765778724705</v>
      </c>
      <c r="AA5" s="47">
        <v>5.7416613622313962E-47</v>
      </c>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row>
    <row r="6" spans="1:64" ht="22.8">
      <c r="A6" s="154" t="s">
        <v>132</v>
      </c>
      <c r="B6" s="20" t="s">
        <v>154</v>
      </c>
      <c r="C6" s="38" t="s">
        <v>155</v>
      </c>
      <c r="D6" s="22">
        <v>1</v>
      </c>
      <c r="E6" s="39" t="s">
        <v>159</v>
      </c>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row>
    <row r="7" spans="1:64" ht="22.8">
      <c r="A7" s="155"/>
      <c r="B7" s="20" t="s">
        <v>157</v>
      </c>
      <c r="C7" s="21">
        <v>2.1899326656474659E-39</v>
      </c>
      <c r="D7" s="24"/>
      <c r="E7" s="28">
        <v>5.7416613622313962E-47</v>
      </c>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row>
    <row r="8" spans="1:64">
      <c r="A8" s="154"/>
      <c r="B8" s="26" t="s">
        <v>158</v>
      </c>
      <c r="C8" s="36">
        <v>78</v>
      </c>
      <c r="D8" s="27">
        <v>78</v>
      </c>
      <c r="E8" s="37">
        <v>78</v>
      </c>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row>
    <row r="9" spans="1:64" ht="22.8">
      <c r="A9" s="154" t="s">
        <v>134</v>
      </c>
      <c r="B9" s="20" t="s">
        <v>154</v>
      </c>
      <c r="C9" s="38" t="s">
        <v>156</v>
      </c>
      <c r="D9" s="40" t="s">
        <v>159</v>
      </c>
      <c r="E9" s="41">
        <v>1</v>
      </c>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row>
    <row r="10" spans="1:64" ht="22.8">
      <c r="A10" s="155"/>
      <c r="B10" s="20" t="s">
        <v>157</v>
      </c>
      <c r="C10" s="21">
        <v>5.1651427358400465E-52</v>
      </c>
      <c r="D10" s="23">
        <v>5.7416613622313962E-47</v>
      </c>
      <c r="E10" s="25"/>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row>
    <row r="11" spans="1:64">
      <c r="A11" s="156"/>
      <c r="B11" s="29" t="s">
        <v>158</v>
      </c>
      <c r="C11" s="42">
        <v>78</v>
      </c>
      <c r="D11" s="31">
        <v>78</v>
      </c>
      <c r="E11" s="43">
        <v>78</v>
      </c>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row>
    <row r="12" spans="1:64">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row>
    <row r="13" spans="1:64">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row>
    <row r="14" spans="1:64">
      <c r="A14" s="1"/>
      <c r="B14" s="1"/>
      <c r="C14" s="1"/>
      <c r="D14" s="1"/>
      <c r="E14" s="1"/>
      <c r="F14" s="1"/>
      <c r="G14" s="1"/>
      <c r="H14" s="1"/>
      <c r="I14" s="26" t="s">
        <v>129</v>
      </c>
      <c r="J14" s="1"/>
      <c r="K14" s="1"/>
      <c r="L14" s="1"/>
      <c r="M14" s="1"/>
      <c r="N14" s="1"/>
      <c r="O14" s="1"/>
      <c r="P14" s="1"/>
      <c r="Q14" s="1"/>
      <c r="R14" s="1"/>
      <c r="S14" s="26" t="s">
        <v>129</v>
      </c>
      <c r="T14" s="1"/>
      <c r="U14" s="1"/>
      <c r="V14" s="1"/>
      <c r="W14" s="1"/>
      <c r="X14" s="1"/>
      <c r="Y14" s="1"/>
      <c r="Z14" s="1"/>
      <c r="AA14" s="1"/>
      <c r="AB14" s="1"/>
      <c r="AC14" s="26" t="s">
        <v>129</v>
      </c>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row>
    <row r="15" spans="1:64">
      <c r="A15" s="1"/>
      <c r="B15" s="1"/>
      <c r="C15" s="1"/>
      <c r="D15" s="1"/>
      <c r="E15" s="1"/>
      <c r="F15" s="1"/>
      <c r="G15" s="1"/>
      <c r="H15" s="1"/>
      <c r="I15" s="26" t="s">
        <v>48</v>
      </c>
      <c r="J15" s="1"/>
      <c r="K15" s="1"/>
      <c r="L15" s="1"/>
      <c r="M15" s="1"/>
      <c r="N15" s="1"/>
      <c r="O15" s="1"/>
      <c r="P15" s="1"/>
      <c r="Q15" s="1"/>
      <c r="R15" s="1"/>
      <c r="S15" s="26" t="s">
        <v>170</v>
      </c>
      <c r="T15" s="1"/>
      <c r="U15" s="1"/>
      <c r="V15" s="1"/>
      <c r="W15" s="1"/>
      <c r="X15" s="1"/>
      <c r="Y15" s="1"/>
      <c r="Z15" s="1"/>
      <c r="AA15" s="1"/>
      <c r="AB15" s="1"/>
      <c r="AC15" s="26" t="s">
        <v>170</v>
      </c>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row>
    <row r="16" spans="1:64">
      <c r="A16" s="1"/>
      <c r="B16" s="1"/>
      <c r="C16" s="1"/>
      <c r="D16" s="1"/>
      <c r="E16" s="1"/>
      <c r="F16" s="1"/>
      <c r="G16" s="1"/>
      <c r="H16" s="1"/>
      <c r="I16" s="26" t="s">
        <v>169</v>
      </c>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row>
    <row r="17" spans="1:64">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row>
    <row r="18" spans="1:64">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row>
    <row r="19" spans="1:64">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row>
    <row r="20" spans="1:64">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row>
    <row r="21" spans="1:64">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row>
    <row r="22" spans="1:64">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row>
    <row r="23" spans="1:64">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row>
    <row r="24" spans="1:64">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row>
    <row r="25" spans="1:64">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row>
    <row r="26" spans="1:64">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row>
    <row r="27" spans="1:64">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row>
    <row r="28" spans="1:64">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row>
    <row r="29" spans="1:64">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row>
    <row r="30" spans="1:64">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row>
    <row r="31" spans="1:64">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row>
    <row r="32" spans="1:64">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row>
    <row r="33" spans="1:64">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row>
    <row r="34" spans="1:64">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row>
    <row r="35" spans="1:64">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row>
    <row r="36" spans="1:64">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row>
    <row r="37" spans="1:64">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row>
    <row r="38" spans="1:64">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row>
    <row r="39" spans="1:64">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row>
    <row r="40" spans="1:64">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row>
    <row r="41" spans="1:64">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row>
    <row r="42" spans="1:64">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row>
    <row r="43" spans="1:64">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row>
    <row r="44" spans="1:64">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row>
    <row r="45" spans="1:64">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row>
    <row r="46" spans="1:64">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row>
    <row r="47" spans="1:64">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row>
    <row r="48" spans="1:64">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row>
    <row r="49" spans="1:64">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row>
    <row r="50" spans="1:64">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row>
    <row r="51" spans="1:64">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row>
    <row r="52" spans="1:64">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row>
    <row r="53" spans="1:64">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row>
    <row r="54" spans="1:64">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row>
    <row r="55" spans="1:64">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row>
    <row r="56" spans="1:64">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row>
    <row r="57" spans="1:64">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row>
    <row r="58" spans="1:64">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row>
    <row r="59" spans="1:64">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row>
    <row r="60" spans="1:64">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row>
    <row r="61" spans="1:64">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row>
    <row r="62" spans="1:64">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row>
    <row r="63" spans="1:64">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row>
    <row r="64" spans="1:64">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row>
    <row r="65" spans="1:64">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row>
    <row r="66" spans="1:64">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row>
    <row r="67" spans="1:64">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row>
    <row r="68" spans="1:64">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row>
    <row r="69" spans="1:64">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row>
    <row r="70" spans="1:64">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row>
    <row r="71" spans="1:64">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row>
    <row r="72" spans="1:64">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row>
    <row r="73" spans="1:64">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row>
    <row r="74" spans="1:64">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row>
    <row r="75" spans="1:64">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row>
    <row r="76" spans="1:64">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row>
    <row r="77" spans="1:64">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row>
    <row r="78" spans="1:64">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row>
    <row r="79" spans="1:64">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row>
    <row r="80" spans="1:64">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row>
    <row r="81" spans="1:64">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row>
    <row r="82" spans="1:64">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row>
    <row r="83" spans="1:64">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row>
    <row r="84" spans="1:64">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row>
    <row r="85" spans="1:64">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row>
    <row r="86" spans="1:64">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row>
    <row r="87" spans="1:64">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row>
    <row r="88" spans="1:64">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row>
    <row r="89" spans="1:64">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row>
    <row r="90" spans="1:64">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row>
    <row r="91" spans="1:64">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row>
    <row r="92" spans="1:64">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row>
    <row r="93" spans="1:64">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row>
    <row r="94" spans="1:64">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row>
    <row r="95" spans="1:64">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row>
    <row r="96" spans="1:64">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row>
    <row r="97" spans="1:64">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row>
    <row r="98" spans="1:64">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row>
    <row r="99" spans="1:64">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row>
    <row r="100" spans="1:64">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row>
    <row r="101" spans="1:64">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row>
    <row r="102" spans="1:64">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row>
    <row r="103" spans="1:64">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row>
    <row r="104" spans="1:64">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row>
    <row r="105" spans="1:64">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row>
    <row r="106" spans="1:64">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row>
    <row r="107" spans="1:64">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row>
    <row r="108" spans="1:64">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row>
    <row r="109" spans="1:64">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row>
    <row r="110" spans="1:64">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row>
    <row r="111" spans="1:64">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row>
    <row r="112" spans="1:64">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row>
    <row r="113" spans="1:64">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row>
    <row r="114" spans="1:64">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row>
    <row r="115" spans="1:64">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row>
    <row r="116" spans="1:64">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row>
    <row r="117" spans="1:64">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row>
    <row r="118" spans="1:64">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row>
    <row r="119" spans="1:64">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row>
    <row r="120" spans="1:64">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row>
    <row r="121" spans="1:64">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row>
    <row r="122" spans="1:64">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row>
    <row r="123" spans="1:64">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row>
    <row r="124" spans="1:64">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row>
    <row r="125" spans="1:64">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row>
    <row r="126" spans="1:64">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row>
    <row r="127" spans="1:64">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row>
    <row r="128" spans="1:64">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row>
    <row r="129" spans="1:64">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row>
    <row r="130" spans="1:64">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row>
    <row r="131" spans="1:64">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row>
    <row r="132" spans="1:64">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row>
    <row r="133" spans="1:64">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row>
    <row r="134" spans="1:64">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row>
    <row r="135" spans="1:64">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row>
    <row r="136" spans="1:64">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row>
    <row r="137" spans="1:64">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row>
    <row r="138" spans="1:64">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row>
    <row r="139" spans="1:64">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row>
    <row r="140" spans="1:64">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row>
    <row r="141" spans="1:64">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row>
    <row r="142" spans="1:64">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row>
    <row r="143" spans="1:64">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row>
    <row r="144" spans="1:64">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row>
    <row r="145" spans="1:64">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row>
    <row r="146" spans="1:64">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row>
    <row r="147" spans="1:64">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row>
    <row r="148" spans="1:64">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row>
    <row r="149" spans="1:64">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row>
    <row r="150" spans="1:64">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row>
    <row r="151" spans="1:64">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row>
    <row r="152" spans="1:64">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row>
    <row r="153" spans="1:64">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row>
    <row r="154" spans="1:64">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row>
    <row r="155" spans="1:64">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row>
    <row r="156" spans="1:64">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row>
    <row r="157" spans="1:64">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row>
    <row r="158" spans="1:64">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row>
    <row r="159" spans="1:64">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row>
    <row r="160" spans="1:64">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row>
    <row r="161" spans="1:64">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row>
    <row r="162" spans="1:64">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row>
    <row r="163" spans="1:64">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row>
    <row r="164" spans="1:64">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row>
    <row r="165" spans="1:64">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row>
    <row r="166" spans="1:64">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row>
    <row r="167" spans="1:64">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row>
    <row r="168" spans="1:64">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row>
    <row r="169" spans="1:64">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row>
    <row r="170" spans="1:64">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row>
    <row r="171" spans="1:64">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row>
    <row r="172" spans="1:64">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row>
    <row r="173" spans="1:64">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row>
    <row r="174" spans="1:64">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row>
    <row r="175" spans="1:64">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row>
    <row r="176" spans="1:64">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row>
    <row r="177" spans="1:64">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row>
    <row r="178" spans="1:64">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row>
    <row r="179" spans="1:64">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row>
    <row r="180" spans="1:64">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row>
    <row r="181" spans="1:64">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row>
    <row r="182" spans="1:64">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row>
    <row r="183" spans="1:64">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row>
    <row r="184" spans="1:64">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row>
    <row r="185" spans="1:64">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row>
    <row r="186" spans="1:64">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row>
    <row r="187" spans="1:64">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row>
    <row r="188" spans="1:64">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row>
    <row r="189" spans="1:64">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row>
    <row r="190" spans="1:64">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row>
    <row r="191" spans="1:64">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row>
    <row r="192" spans="1:64">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row>
    <row r="193" spans="1:64">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row>
    <row r="194" spans="1:64">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row>
    <row r="195" spans="1:64">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row>
    <row r="196" spans="1:64">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row>
    <row r="197" spans="1:64">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row>
    <row r="198" spans="1:64">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row>
    <row r="199" spans="1:64">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row>
    <row r="200" spans="1:64">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row>
    <row r="201" spans="1:64">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row>
    <row r="202" spans="1:64">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row>
    <row r="203" spans="1:64">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row>
    <row r="204" spans="1:64">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row>
    <row r="205" spans="1:64">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row>
    <row r="206" spans="1:64">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row>
    <row r="207" spans="1:64">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row>
    <row r="208" spans="1:64">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row>
    <row r="209" spans="1:64">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row>
    <row r="210" spans="1:64">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row>
    <row r="211" spans="1:64">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row>
    <row r="212" spans="1:64">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row>
    <row r="213" spans="1:64">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row>
    <row r="214" spans="1:64">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row>
    <row r="215" spans="1:64">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row>
    <row r="216" spans="1:64">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row>
    <row r="217" spans="1:64">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row>
    <row r="218" spans="1:64">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row>
    <row r="219" spans="1:64">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row>
    <row r="220" spans="1:64">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row>
    <row r="221" spans="1:64">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row>
    <row r="222" spans="1:64">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row>
    <row r="223" spans="1:64">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row>
    <row r="224" spans="1:64">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row>
    <row r="225" spans="1:64">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row>
    <row r="226" spans="1:64">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row>
    <row r="227" spans="1:64">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row>
    <row r="228" spans="1:64">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row>
    <row r="229" spans="1:64">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row>
    <row r="230" spans="1:64">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row>
    <row r="231" spans="1:64">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row>
    <row r="232" spans="1:64">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row>
    <row r="233" spans="1:64">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row>
    <row r="234" spans="1:64">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row>
    <row r="235" spans="1:64">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row>
    <row r="236" spans="1:64">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row>
    <row r="237" spans="1:64">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row>
    <row r="238" spans="1:64">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row>
    <row r="239" spans="1:64">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row>
    <row r="240" spans="1:64">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row>
    <row r="241" spans="1:64">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row>
    <row r="242" spans="1:64">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row>
    <row r="243" spans="1:64">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row>
    <row r="244" spans="1:64">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row>
    <row r="245" spans="1:64">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row>
    <row r="246" spans="1:64">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row>
    <row r="247" spans="1:64">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row>
    <row r="248" spans="1:64">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row>
    <row r="249" spans="1:64">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row>
    <row r="250" spans="1:64">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row>
    <row r="251" spans="1:64">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row>
    <row r="252" spans="1:64">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row>
    <row r="253" spans="1:64">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row>
    <row r="254" spans="1:64">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row>
    <row r="255" spans="1:64">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row>
    <row r="256" spans="1:64">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row>
    <row r="257" spans="1:64">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row>
    <row r="258" spans="1:64">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row>
    <row r="259" spans="1:64">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row>
    <row r="260" spans="1:64">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row>
    <row r="261" spans="1:64">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row>
    <row r="262" spans="1:64">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row>
    <row r="263" spans="1:64">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row>
    <row r="264" spans="1:64">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row>
    <row r="265" spans="1:64">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row>
    <row r="266" spans="1:64">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row>
    <row r="267" spans="1:64">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row>
    <row r="268" spans="1:64">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row>
    <row r="269" spans="1:64">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row>
    <row r="270" spans="1:64">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row>
    <row r="271" spans="1:64">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row>
    <row r="272" spans="1:64">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row>
    <row r="273" spans="1:64">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row>
    <row r="274" spans="1:64">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row>
    <row r="275" spans="1:64">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row>
    <row r="276" spans="1:64">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row>
    <row r="277" spans="1:64">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row>
    <row r="278" spans="1:64">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row>
    <row r="279" spans="1:64">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row>
    <row r="280" spans="1:64">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row>
    <row r="281" spans="1:64">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row>
    <row r="282" spans="1:64">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row>
    <row r="283" spans="1:64">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row>
    <row r="284" spans="1:64">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row>
    <row r="285" spans="1:64">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row>
    <row r="286" spans="1:64">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row>
    <row r="287" spans="1:64">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row>
    <row r="288" spans="1:64">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row>
    <row r="289" spans="1:64">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row>
    <row r="290" spans="1:64">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row>
    <row r="291" spans="1:64">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row>
    <row r="292" spans="1:64">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row>
    <row r="293" spans="1:64">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row>
    <row r="294" spans="1:64">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row>
    <row r="295" spans="1:64">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row>
    <row r="296" spans="1:64">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row>
    <row r="297" spans="1:64">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row>
    <row r="298" spans="1:64">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row>
    <row r="299" spans="1:64">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row>
    <row r="300" spans="1:64">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row>
    <row r="301" spans="1:64">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row>
    <row r="302" spans="1:64">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row>
    <row r="303" spans="1:64">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row>
    <row r="304" spans="1:64">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row>
    <row r="305" spans="1:64">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row>
    <row r="306" spans="1:64">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row>
    <row r="307" spans="1:64">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row>
    <row r="308" spans="1:64">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row>
    <row r="309" spans="1:64">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row>
    <row r="310" spans="1:64">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row>
    <row r="311" spans="1:64">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row>
    <row r="312" spans="1:64">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row>
    <row r="313" spans="1:64">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row>
    <row r="314" spans="1:64">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row>
    <row r="315" spans="1:64">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row>
    <row r="316" spans="1:64">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row>
    <row r="317" spans="1:64">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row>
    <row r="318" spans="1:64">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row>
    <row r="319" spans="1:64">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row>
    <row r="320" spans="1:64">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row>
    <row r="321" spans="1:64">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row>
    <row r="322" spans="1:64">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row>
    <row r="323" spans="1:64">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row>
    <row r="324" spans="1:64">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row>
    <row r="325" spans="1:64">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row>
    <row r="326" spans="1:64">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row>
    <row r="327" spans="1:64">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row>
    <row r="328" spans="1:64">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row>
    <row r="329" spans="1:64">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row>
    <row r="330" spans="1:64">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row>
    <row r="331" spans="1:64">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row>
    <row r="332" spans="1:64">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row>
    <row r="333" spans="1:64">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row>
    <row r="334" spans="1:64">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row>
    <row r="335" spans="1:64">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row>
    <row r="336" spans="1:64">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row>
    <row r="337" spans="1:64">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row>
    <row r="338" spans="1:64">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row>
    <row r="339" spans="1:64">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row>
    <row r="340" spans="1:64">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row>
    <row r="341" spans="1:64">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row>
    <row r="342" spans="1:64">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row>
    <row r="343" spans="1:64">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row>
    <row r="344" spans="1:64">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row>
    <row r="345" spans="1:64">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row>
    <row r="346" spans="1:64">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row>
    <row r="347" spans="1:64">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row>
    <row r="348" spans="1:64">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row>
    <row r="349" spans="1:64">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row>
    <row r="350" spans="1:64">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row>
    <row r="351" spans="1:64">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row>
    <row r="352" spans="1:64">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row>
    <row r="353" spans="1:64">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row>
    <row r="354" spans="1:64">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row>
    <row r="355" spans="1:64">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row>
    <row r="356" spans="1:64">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row>
    <row r="357" spans="1:64">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row>
    <row r="358" spans="1:64">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row>
    <row r="359" spans="1:64">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row>
    <row r="360" spans="1:64">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row>
    <row r="361" spans="1:64">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row>
    <row r="362" spans="1:64">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row>
    <row r="363" spans="1:64">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row>
    <row r="364" spans="1:64">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c r="BA364" s="1"/>
      <c r="BB364" s="1"/>
      <c r="BC364" s="1"/>
      <c r="BD364" s="1"/>
      <c r="BE364" s="1"/>
      <c r="BF364" s="1"/>
      <c r="BG364" s="1"/>
      <c r="BH364" s="1"/>
      <c r="BI364" s="1"/>
      <c r="BJ364" s="1"/>
      <c r="BK364" s="1"/>
      <c r="BL364" s="1"/>
    </row>
    <row r="365" spans="1:64">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c r="BA365" s="1"/>
      <c r="BB365" s="1"/>
      <c r="BC365" s="1"/>
      <c r="BD365" s="1"/>
      <c r="BE365" s="1"/>
      <c r="BF365" s="1"/>
      <c r="BG365" s="1"/>
      <c r="BH365" s="1"/>
      <c r="BI365" s="1"/>
      <c r="BJ365" s="1"/>
      <c r="BK365" s="1"/>
      <c r="BL365" s="1"/>
    </row>
    <row r="366" spans="1:64">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c r="BA366" s="1"/>
      <c r="BB366" s="1"/>
      <c r="BC366" s="1"/>
      <c r="BD366" s="1"/>
      <c r="BE366" s="1"/>
      <c r="BF366" s="1"/>
      <c r="BG366" s="1"/>
      <c r="BH366" s="1"/>
      <c r="BI366" s="1"/>
      <c r="BJ366" s="1"/>
      <c r="BK366" s="1"/>
      <c r="BL366" s="1"/>
    </row>
    <row r="367" spans="1:64">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c r="BA367" s="1"/>
      <c r="BB367" s="1"/>
      <c r="BC367" s="1"/>
      <c r="BD367" s="1"/>
      <c r="BE367" s="1"/>
      <c r="BF367" s="1"/>
      <c r="BG367" s="1"/>
      <c r="BH367" s="1"/>
      <c r="BI367" s="1"/>
      <c r="BJ367" s="1"/>
      <c r="BK367" s="1"/>
      <c r="BL367" s="1"/>
    </row>
    <row r="368" spans="1:64">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c r="BA368" s="1"/>
      <c r="BB368" s="1"/>
      <c r="BC368" s="1"/>
      <c r="BD368" s="1"/>
      <c r="BE368" s="1"/>
      <c r="BF368" s="1"/>
      <c r="BG368" s="1"/>
      <c r="BH368" s="1"/>
      <c r="BI368" s="1"/>
      <c r="BJ368" s="1"/>
      <c r="BK368" s="1"/>
      <c r="BL368" s="1"/>
    </row>
    <row r="369" spans="1:64">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c r="BA369" s="1"/>
      <c r="BB369" s="1"/>
      <c r="BC369" s="1"/>
      <c r="BD369" s="1"/>
      <c r="BE369" s="1"/>
      <c r="BF369" s="1"/>
      <c r="BG369" s="1"/>
      <c r="BH369" s="1"/>
      <c r="BI369" s="1"/>
      <c r="BJ369" s="1"/>
      <c r="BK369" s="1"/>
      <c r="BL369" s="1"/>
    </row>
    <row r="370" spans="1:64">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c r="BA370" s="1"/>
      <c r="BB370" s="1"/>
      <c r="BC370" s="1"/>
      <c r="BD370" s="1"/>
      <c r="BE370" s="1"/>
      <c r="BF370" s="1"/>
      <c r="BG370" s="1"/>
      <c r="BH370" s="1"/>
      <c r="BI370" s="1"/>
      <c r="BJ370" s="1"/>
      <c r="BK370" s="1"/>
      <c r="BL370" s="1"/>
    </row>
    <row r="371" spans="1:64">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c r="AV371" s="1"/>
      <c r="AW371" s="1"/>
      <c r="AX371" s="1"/>
      <c r="AY371" s="1"/>
      <c r="AZ371" s="1"/>
      <c r="BA371" s="1"/>
      <c r="BB371" s="1"/>
      <c r="BC371" s="1"/>
      <c r="BD371" s="1"/>
      <c r="BE371" s="1"/>
      <c r="BF371" s="1"/>
      <c r="BG371" s="1"/>
      <c r="BH371" s="1"/>
      <c r="BI371" s="1"/>
      <c r="BJ371" s="1"/>
      <c r="BK371" s="1"/>
      <c r="BL371" s="1"/>
    </row>
    <row r="372" spans="1:64">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c r="AV372" s="1"/>
      <c r="AW372" s="1"/>
      <c r="AX372" s="1"/>
      <c r="AY372" s="1"/>
      <c r="AZ372" s="1"/>
      <c r="BA372" s="1"/>
      <c r="BB372" s="1"/>
      <c r="BC372" s="1"/>
      <c r="BD372" s="1"/>
      <c r="BE372" s="1"/>
      <c r="BF372" s="1"/>
      <c r="BG372" s="1"/>
      <c r="BH372" s="1"/>
      <c r="BI372" s="1"/>
      <c r="BJ372" s="1"/>
      <c r="BK372" s="1"/>
      <c r="BL372" s="1"/>
    </row>
    <row r="373" spans="1:64">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c r="BA373" s="1"/>
      <c r="BB373" s="1"/>
      <c r="BC373" s="1"/>
      <c r="BD373" s="1"/>
      <c r="BE373" s="1"/>
      <c r="BF373" s="1"/>
      <c r="BG373" s="1"/>
      <c r="BH373" s="1"/>
      <c r="BI373" s="1"/>
      <c r="BJ373" s="1"/>
      <c r="BK373" s="1"/>
      <c r="BL373" s="1"/>
    </row>
    <row r="374" spans="1:64">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c r="AV374" s="1"/>
      <c r="AW374" s="1"/>
      <c r="AX374" s="1"/>
      <c r="AY374" s="1"/>
      <c r="AZ374" s="1"/>
      <c r="BA374" s="1"/>
      <c r="BB374" s="1"/>
      <c r="BC374" s="1"/>
      <c r="BD374" s="1"/>
      <c r="BE374" s="1"/>
      <c r="BF374" s="1"/>
      <c r="BG374" s="1"/>
      <c r="BH374" s="1"/>
      <c r="BI374" s="1"/>
      <c r="BJ374" s="1"/>
      <c r="BK374" s="1"/>
      <c r="BL374" s="1"/>
    </row>
    <row r="375" spans="1:64">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c r="AV375" s="1"/>
      <c r="AW375" s="1"/>
      <c r="AX375" s="1"/>
      <c r="AY375" s="1"/>
      <c r="AZ375" s="1"/>
      <c r="BA375" s="1"/>
      <c r="BB375" s="1"/>
      <c r="BC375" s="1"/>
      <c r="BD375" s="1"/>
      <c r="BE375" s="1"/>
      <c r="BF375" s="1"/>
      <c r="BG375" s="1"/>
      <c r="BH375" s="1"/>
      <c r="BI375" s="1"/>
      <c r="BJ375" s="1"/>
      <c r="BK375" s="1"/>
      <c r="BL375" s="1"/>
    </row>
    <row r="376" spans="1:64">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c r="BA376" s="1"/>
      <c r="BB376" s="1"/>
      <c r="BC376" s="1"/>
      <c r="BD376" s="1"/>
      <c r="BE376" s="1"/>
      <c r="BF376" s="1"/>
      <c r="BG376" s="1"/>
      <c r="BH376" s="1"/>
      <c r="BI376" s="1"/>
      <c r="BJ376" s="1"/>
      <c r="BK376" s="1"/>
      <c r="BL376" s="1"/>
    </row>
    <row r="377" spans="1:64">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c r="BA377" s="1"/>
      <c r="BB377" s="1"/>
      <c r="BC377" s="1"/>
      <c r="BD377" s="1"/>
      <c r="BE377" s="1"/>
      <c r="BF377" s="1"/>
      <c r="BG377" s="1"/>
      <c r="BH377" s="1"/>
      <c r="BI377" s="1"/>
      <c r="BJ377" s="1"/>
      <c r="BK377" s="1"/>
      <c r="BL377" s="1"/>
    </row>
    <row r="378" spans="1:64">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c r="BA378" s="1"/>
      <c r="BB378" s="1"/>
      <c r="BC378" s="1"/>
      <c r="BD378" s="1"/>
      <c r="BE378" s="1"/>
      <c r="BF378" s="1"/>
      <c r="BG378" s="1"/>
      <c r="BH378" s="1"/>
      <c r="BI378" s="1"/>
      <c r="BJ378" s="1"/>
      <c r="BK378" s="1"/>
      <c r="BL378" s="1"/>
    </row>
    <row r="379" spans="1:64">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c r="BA379" s="1"/>
      <c r="BB379" s="1"/>
      <c r="BC379" s="1"/>
      <c r="BD379" s="1"/>
      <c r="BE379" s="1"/>
      <c r="BF379" s="1"/>
      <c r="BG379" s="1"/>
      <c r="BH379" s="1"/>
      <c r="BI379" s="1"/>
      <c r="BJ379" s="1"/>
      <c r="BK379" s="1"/>
      <c r="BL379" s="1"/>
    </row>
    <row r="380" spans="1:64">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c r="BA380" s="1"/>
      <c r="BB380" s="1"/>
      <c r="BC380" s="1"/>
      <c r="BD380" s="1"/>
      <c r="BE380" s="1"/>
      <c r="BF380" s="1"/>
      <c r="BG380" s="1"/>
      <c r="BH380" s="1"/>
      <c r="BI380" s="1"/>
      <c r="BJ380" s="1"/>
      <c r="BK380" s="1"/>
      <c r="BL380" s="1"/>
    </row>
    <row r="381" spans="1:64">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c r="BA381" s="1"/>
      <c r="BB381" s="1"/>
      <c r="BC381" s="1"/>
      <c r="BD381" s="1"/>
      <c r="BE381" s="1"/>
      <c r="BF381" s="1"/>
      <c r="BG381" s="1"/>
      <c r="BH381" s="1"/>
      <c r="BI381" s="1"/>
      <c r="BJ381" s="1"/>
      <c r="BK381" s="1"/>
      <c r="BL381" s="1"/>
    </row>
    <row r="382" spans="1:64">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c r="BA382" s="1"/>
      <c r="BB382" s="1"/>
      <c r="BC382" s="1"/>
      <c r="BD382" s="1"/>
      <c r="BE382" s="1"/>
      <c r="BF382" s="1"/>
      <c r="BG382" s="1"/>
      <c r="BH382" s="1"/>
      <c r="BI382" s="1"/>
      <c r="BJ382" s="1"/>
      <c r="BK382" s="1"/>
      <c r="BL382" s="1"/>
    </row>
    <row r="383" spans="1:64">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c r="BA383" s="1"/>
      <c r="BB383" s="1"/>
      <c r="BC383" s="1"/>
      <c r="BD383" s="1"/>
      <c r="BE383" s="1"/>
      <c r="BF383" s="1"/>
      <c r="BG383" s="1"/>
      <c r="BH383" s="1"/>
      <c r="BI383" s="1"/>
      <c r="BJ383" s="1"/>
      <c r="BK383" s="1"/>
      <c r="BL383" s="1"/>
    </row>
    <row r="384" spans="1:64">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c r="BA384" s="1"/>
      <c r="BB384" s="1"/>
      <c r="BC384" s="1"/>
      <c r="BD384" s="1"/>
      <c r="BE384" s="1"/>
      <c r="BF384" s="1"/>
      <c r="BG384" s="1"/>
      <c r="BH384" s="1"/>
      <c r="BI384" s="1"/>
      <c r="BJ384" s="1"/>
      <c r="BK384" s="1"/>
      <c r="BL384" s="1"/>
    </row>
  </sheetData>
  <mergeCells count="11">
    <mergeCell ref="A9:A11"/>
    <mergeCell ref="U1:AA1"/>
    <mergeCell ref="U2:V3"/>
    <mergeCell ref="W2:X2"/>
    <mergeCell ref="Z2:Z3"/>
    <mergeCell ref="AA2:AA3"/>
    <mergeCell ref="U4:U5"/>
    <mergeCell ref="A1:E1"/>
    <mergeCell ref="A2:B2"/>
    <mergeCell ref="A3:A5"/>
    <mergeCell ref="A6:A8"/>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BB1E3-2C19-4C14-9349-B88E2F801730}">
  <sheetPr codeName="Sayfa9"/>
  <dimension ref="A1:AV270"/>
  <sheetViews>
    <sheetView zoomScale="55" zoomScaleNormal="55" workbookViewId="0"/>
  </sheetViews>
  <sheetFormatPr defaultRowHeight="14.4"/>
  <cols>
    <col min="1" max="1" width="22.33203125" bestFit="1" customWidth="1"/>
    <col min="14" max="14" width="36.109375" bestFit="1" customWidth="1"/>
    <col min="20" max="20" width="33.44140625" bestFit="1" customWidth="1"/>
    <col min="21" max="21" width="9.33203125" bestFit="1" customWidth="1"/>
  </cols>
  <sheetData>
    <row r="1" spans="1:48">
      <c r="A1" s="48" t="s">
        <v>204</v>
      </c>
      <c r="B1" s="180" t="s">
        <v>183</v>
      </c>
      <c r="C1" s="180"/>
      <c r="D1" s="180"/>
      <c r="E1" s="180"/>
      <c r="F1" s="180"/>
      <c r="G1" s="180" t="s">
        <v>184</v>
      </c>
      <c r="H1" s="180"/>
      <c r="I1" s="180"/>
      <c r="J1" s="180"/>
      <c r="K1" s="180"/>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row>
    <row r="2" spans="1:48" ht="44.4" customHeight="1">
      <c r="A2" s="49" t="s">
        <v>203</v>
      </c>
      <c r="B2" s="180" t="s">
        <v>177</v>
      </c>
      <c r="C2" s="180"/>
      <c r="D2" s="180"/>
      <c r="E2" s="180"/>
      <c r="F2" s="180"/>
      <c r="G2" s="180" t="s">
        <v>177</v>
      </c>
      <c r="H2" s="180"/>
      <c r="I2" s="180"/>
      <c r="J2" s="180"/>
      <c r="K2" s="180"/>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row>
    <row r="3" spans="1:48" ht="86.4" customHeight="1">
      <c r="A3" s="51" t="s">
        <v>0</v>
      </c>
      <c r="B3" s="50" t="s">
        <v>178</v>
      </c>
      <c r="C3" s="50" t="s">
        <v>179</v>
      </c>
      <c r="D3" s="50" t="s">
        <v>180</v>
      </c>
      <c r="E3" s="50" t="s">
        <v>181</v>
      </c>
      <c r="F3" s="50" t="s">
        <v>182</v>
      </c>
      <c r="G3" s="50" t="s">
        <v>178</v>
      </c>
      <c r="H3" s="50" t="s">
        <v>179</v>
      </c>
      <c r="I3" s="50" t="s">
        <v>180</v>
      </c>
      <c r="J3" s="50" t="s">
        <v>181</v>
      </c>
      <c r="K3" s="50" t="s">
        <v>182</v>
      </c>
      <c r="L3" s="1"/>
      <c r="M3" s="1"/>
      <c r="N3" s="174" t="s">
        <v>83</v>
      </c>
      <c r="O3" s="174"/>
      <c r="P3" s="50" t="s">
        <v>178</v>
      </c>
      <c r="Q3" s="50" t="s">
        <v>179</v>
      </c>
      <c r="R3" s="50" t="s">
        <v>180</v>
      </c>
      <c r="S3" s="50" t="s">
        <v>181</v>
      </c>
      <c r="T3" s="50" t="s">
        <v>182</v>
      </c>
      <c r="U3" s="50" t="s">
        <v>178</v>
      </c>
      <c r="V3" s="50" t="s">
        <v>179</v>
      </c>
      <c r="W3" s="50" t="s">
        <v>180</v>
      </c>
      <c r="X3" s="50" t="s">
        <v>181</v>
      </c>
      <c r="Y3" s="50" t="s">
        <v>182</v>
      </c>
      <c r="Z3" s="1"/>
      <c r="AA3" s="1"/>
      <c r="AB3" s="1"/>
      <c r="AC3" s="1"/>
      <c r="AD3" s="1"/>
      <c r="AE3" s="1"/>
      <c r="AF3" s="1"/>
      <c r="AG3" s="1"/>
      <c r="AH3" s="1"/>
      <c r="AI3" s="1"/>
      <c r="AJ3" s="1"/>
      <c r="AK3" s="1"/>
      <c r="AL3" s="1"/>
      <c r="AM3" s="1"/>
      <c r="AN3" s="1"/>
      <c r="AO3" s="1"/>
      <c r="AP3" s="1"/>
      <c r="AQ3" s="1"/>
      <c r="AR3" s="1"/>
      <c r="AS3" s="1"/>
      <c r="AT3" s="1"/>
      <c r="AU3" s="1"/>
      <c r="AV3" s="1"/>
    </row>
    <row r="4" spans="1:48">
      <c r="A4" s="7" t="s">
        <v>4</v>
      </c>
      <c r="B4" s="7">
        <v>61.451877883653196</v>
      </c>
      <c r="C4" s="7">
        <v>24.43996010122552</v>
      </c>
      <c r="D4" s="7">
        <v>25.778596924931609</v>
      </c>
      <c r="E4" s="7">
        <v>38.127032001501938</v>
      </c>
      <c r="F4" s="7">
        <v>62.376301580957659</v>
      </c>
      <c r="G4" s="7">
        <v>45.915598644115747</v>
      </c>
      <c r="H4" s="7">
        <v>42.278655885723268</v>
      </c>
      <c r="I4" s="7">
        <v>42.800753405479973</v>
      </c>
      <c r="J4" s="7">
        <v>24.666911483734651</v>
      </c>
      <c r="K4" s="7">
        <v>43.603759817002832</v>
      </c>
      <c r="L4" s="1"/>
      <c r="M4" s="1"/>
      <c r="N4" s="170" t="s">
        <v>158</v>
      </c>
      <c r="O4" s="56" t="s">
        <v>190</v>
      </c>
      <c r="P4" s="7">
        <v>77</v>
      </c>
      <c r="Q4" s="7">
        <v>77</v>
      </c>
      <c r="R4" s="7">
        <v>77</v>
      </c>
      <c r="S4" s="7">
        <v>77</v>
      </c>
      <c r="T4" s="7">
        <v>77</v>
      </c>
      <c r="U4" s="7">
        <v>77</v>
      </c>
      <c r="V4" s="7">
        <v>77</v>
      </c>
      <c r="W4" s="7">
        <v>77</v>
      </c>
      <c r="X4" s="7">
        <v>77</v>
      </c>
      <c r="Y4" s="7">
        <v>77</v>
      </c>
      <c r="Z4" s="1"/>
      <c r="AA4" s="1"/>
      <c r="AB4" s="1"/>
      <c r="AC4" s="1"/>
      <c r="AD4" s="1"/>
      <c r="AE4" s="1"/>
      <c r="AF4" s="1"/>
      <c r="AG4" s="1"/>
      <c r="AH4" s="1"/>
      <c r="AI4" s="1"/>
      <c r="AJ4" s="1"/>
      <c r="AK4" s="1"/>
      <c r="AL4" s="1"/>
      <c r="AM4" s="1"/>
      <c r="AN4" s="1"/>
      <c r="AO4" s="1"/>
      <c r="AP4" s="1"/>
      <c r="AQ4" s="1"/>
      <c r="AR4" s="1"/>
      <c r="AS4" s="1"/>
      <c r="AT4" s="1"/>
      <c r="AU4" s="1"/>
      <c r="AV4" s="1"/>
    </row>
    <row r="5" spans="1:48">
      <c r="A5" s="7" t="s">
        <v>5</v>
      </c>
      <c r="B5" s="7">
        <v>63.204521512361737</v>
      </c>
      <c r="C5" s="7">
        <v>17.014309406168241</v>
      </c>
      <c r="D5" s="7">
        <v>16.86740101700136</v>
      </c>
      <c r="E5" s="7">
        <v>44.205515091355757</v>
      </c>
      <c r="F5" s="7">
        <v>66.620113996784326</v>
      </c>
      <c r="G5" s="7">
        <v>41.852606683297488</v>
      </c>
      <c r="H5" s="7">
        <v>39.775250111617282</v>
      </c>
      <c r="I5" s="7">
        <v>35.809216208471121</v>
      </c>
      <c r="J5" s="7">
        <v>26.021489996460222</v>
      </c>
      <c r="K5" s="7">
        <v>40.253217649868397</v>
      </c>
      <c r="L5" s="1"/>
      <c r="M5" s="1"/>
      <c r="N5" s="177"/>
      <c r="O5" s="53" t="s">
        <v>191</v>
      </c>
      <c r="P5" s="7">
        <v>0</v>
      </c>
      <c r="Q5" s="7">
        <v>0</v>
      </c>
      <c r="R5" s="7">
        <v>0</v>
      </c>
      <c r="S5" s="7">
        <v>0</v>
      </c>
      <c r="T5" s="7">
        <v>0</v>
      </c>
      <c r="U5" s="7">
        <v>0</v>
      </c>
      <c r="V5" s="7">
        <v>0</v>
      </c>
      <c r="W5" s="7">
        <v>0</v>
      </c>
      <c r="X5" s="7">
        <v>0</v>
      </c>
      <c r="Y5" s="7">
        <v>0</v>
      </c>
      <c r="Z5" s="1"/>
      <c r="AA5" s="1"/>
      <c r="AB5" s="1"/>
      <c r="AC5" s="1"/>
      <c r="AD5" s="1"/>
      <c r="AE5" s="1"/>
      <c r="AF5" s="1"/>
      <c r="AG5" s="1"/>
      <c r="AH5" s="1"/>
      <c r="AI5" s="1"/>
      <c r="AJ5" s="1"/>
      <c r="AK5" s="1"/>
      <c r="AL5" s="1"/>
      <c r="AM5" s="1"/>
      <c r="AN5" s="1"/>
      <c r="AO5" s="1"/>
      <c r="AP5" s="1"/>
      <c r="AQ5" s="1"/>
      <c r="AR5" s="1"/>
      <c r="AS5" s="1"/>
      <c r="AT5" s="1"/>
      <c r="AU5" s="1"/>
      <c r="AV5" s="1"/>
    </row>
    <row r="6" spans="1:48">
      <c r="A6" s="7" t="s">
        <v>6</v>
      </c>
      <c r="B6" s="7">
        <v>67.114892502700584</v>
      </c>
      <c r="C6" s="7">
        <v>13.857708523590119</v>
      </c>
      <c r="D6" s="7">
        <v>18.332217804538921</v>
      </c>
      <c r="E6" s="7">
        <v>51.450474679009673</v>
      </c>
      <c r="F6" s="7">
        <v>64.590603448567592</v>
      </c>
      <c r="G6" s="7">
        <v>48.633355297079582</v>
      </c>
      <c r="H6" s="7">
        <v>29.0603619360013</v>
      </c>
      <c r="I6" s="7">
        <v>32.612413177144923</v>
      </c>
      <c r="J6" s="7">
        <v>33.089774666034572</v>
      </c>
      <c r="K6" s="7">
        <v>45.340635075746512</v>
      </c>
      <c r="L6" s="1"/>
      <c r="M6" s="1"/>
      <c r="N6" s="178" t="s">
        <v>122</v>
      </c>
      <c r="O6" s="178"/>
      <c r="P6" s="7">
        <v>54.768831168831177</v>
      </c>
      <c r="Q6" s="7">
        <v>35.480519480519476</v>
      </c>
      <c r="R6" s="7">
        <v>35.701298701298697</v>
      </c>
      <c r="S6" s="7">
        <v>31.307792207792204</v>
      </c>
      <c r="T6" s="7">
        <v>62.06363636363637</v>
      </c>
      <c r="U6" s="7">
        <v>37.396103896103888</v>
      </c>
      <c r="V6" s="7">
        <v>54.027272727272717</v>
      </c>
      <c r="W6" s="7">
        <v>53.933766233766228</v>
      </c>
      <c r="X6" s="7">
        <v>16.070129870129872</v>
      </c>
      <c r="Y6" s="7">
        <v>41.581818181818164</v>
      </c>
      <c r="Z6" s="1"/>
      <c r="AA6" s="1"/>
      <c r="AB6" s="1"/>
      <c r="AC6" s="1"/>
      <c r="AD6" s="1"/>
      <c r="AE6" s="1"/>
      <c r="AF6" s="1"/>
      <c r="AG6" s="1"/>
      <c r="AH6" s="1"/>
      <c r="AI6" s="1"/>
      <c r="AJ6" s="1"/>
      <c r="AK6" s="1"/>
      <c r="AL6" s="1"/>
      <c r="AM6" s="1"/>
      <c r="AN6" s="1"/>
      <c r="AO6" s="1"/>
      <c r="AP6" s="1"/>
      <c r="AQ6" s="1"/>
      <c r="AR6" s="1"/>
      <c r="AS6" s="1"/>
      <c r="AT6" s="1"/>
      <c r="AU6" s="1"/>
      <c r="AV6" s="1"/>
    </row>
    <row r="7" spans="1:48">
      <c r="A7" s="7" t="s">
        <v>7</v>
      </c>
      <c r="B7" s="7">
        <v>56.892825371448957</v>
      </c>
      <c r="C7" s="7">
        <v>25.00347142848911</v>
      </c>
      <c r="D7" s="7">
        <v>28.758488460859201</v>
      </c>
      <c r="E7" s="7">
        <v>34.216241841195597</v>
      </c>
      <c r="F7" s="7">
        <v>57.745623776411612</v>
      </c>
      <c r="G7" s="7">
        <v>39.068219684521083</v>
      </c>
      <c r="H7" s="7">
        <v>47.976980333880391</v>
      </c>
      <c r="I7" s="7">
        <v>49.683619835432879</v>
      </c>
      <c r="J7" s="7">
        <v>18.731606424286468</v>
      </c>
      <c r="K7" s="7">
        <v>36.303732296306492</v>
      </c>
      <c r="L7" s="1"/>
      <c r="M7" s="1"/>
      <c r="N7" s="177" t="s">
        <v>88</v>
      </c>
      <c r="O7" s="177"/>
      <c r="P7" s="7">
        <v>-1.1599934322889776</v>
      </c>
      <c r="Q7" s="7">
        <v>0.59304849205848187</v>
      </c>
      <c r="R7" s="7">
        <v>0.57401566103717039</v>
      </c>
      <c r="S7" s="7">
        <v>-1.2125913997889889E-2</v>
      </c>
      <c r="T7" s="7">
        <v>-1.3599336109431337</v>
      </c>
      <c r="U7" s="7">
        <v>-0.54694693139945261</v>
      </c>
      <c r="V7" s="7">
        <v>0.11153175269001635</v>
      </c>
      <c r="W7" s="7">
        <v>0.29495461635474524</v>
      </c>
      <c r="X7" s="7">
        <v>0.34735224130382403</v>
      </c>
      <c r="Y7" s="7">
        <v>-0.66362622458081744</v>
      </c>
      <c r="Z7" s="1"/>
      <c r="AA7" s="1"/>
      <c r="AB7" s="1"/>
      <c r="AC7" s="1"/>
      <c r="AD7" s="1"/>
      <c r="AE7" s="1"/>
      <c r="AF7" s="1"/>
      <c r="AG7" s="1"/>
      <c r="AH7" s="1"/>
      <c r="AI7" s="1"/>
      <c r="AJ7" s="1"/>
      <c r="AK7" s="1"/>
      <c r="AL7" s="1"/>
      <c r="AM7" s="1"/>
      <c r="AN7" s="1"/>
      <c r="AO7" s="1"/>
      <c r="AP7" s="1"/>
      <c r="AQ7" s="1"/>
      <c r="AR7" s="1"/>
      <c r="AS7" s="1"/>
      <c r="AT7" s="1"/>
      <c r="AU7" s="1"/>
      <c r="AV7" s="1"/>
    </row>
    <row r="8" spans="1:48">
      <c r="A8" s="7" t="s">
        <v>8</v>
      </c>
      <c r="B8" s="7">
        <v>70.196458101280484</v>
      </c>
      <c r="C8" s="7">
        <v>27.760330788360658</v>
      </c>
      <c r="D8" s="7">
        <v>31.53296812394392</v>
      </c>
      <c r="E8" s="7">
        <v>26.659510621447499</v>
      </c>
      <c r="F8" s="7">
        <v>68.416370526155049</v>
      </c>
      <c r="G8" s="7">
        <v>51.94586218087651</v>
      </c>
      <c r="H8" s="7">
        <v>48.574891156642217</v>
      </c>
      <c r="I8" s="7">
        <v>53.447820948613114</v>
      </c>
      <c r="J8" s="7">
        <v>12.74798553919455</v>
      </c>
      <c r="K8" s="7">
        <v>48.149457117992917</v>
      </c>
      <c r="L8" s="1"/>
      <c r="M8" s="1"/>
      <c r="N8" s="177" t="s">
        <v>89</v>
      </c>
      <c r="O8" s="177"/>
      <c r="P8" s="7">
        <v>0.27390808864588323</v>
      </c>
      <c r="Q8" s="7">
        <v>0.27390808864588323</v>
      </c>
      <c r="R8" s="7">
        <v>0.27390808864588323</v>
      </c>
      <c r="S8" s="7">
        <v>0.27390808864588323</v>
      </c>
      <c r="T8" s="7">
        <v>0.27390808864588323</v>
      </c>
      <c r="U8" s="7">
        <v>0.27390808864588323</v>
      </c>
      <c r="V8" s="7">
        <v>0.27390808864588323</v>
      </c>
      <c r="W8" s="7">
        <v>0.27390808864588323</v>
      </c>
      <c r="X8" s="7">
        <v>0.27390808864588323</v>
      </c>
      <c r="Y8" s="7">
        <v>0.27390808864588323</v>
      </c>
      <c r="Z8" s="1"/>
      <c r="AA8" s="1"/>
      <c r="AB8" s="1"/>
      <c r="AC8" s="1"/>
      <c r="AD8" s="1"/>
      <c r="AE8" s="1"/>
      <c r="AF8" s="1"/>
      <c r="AG8" s="1"/>
      <c r="AH8" s="1"/>
      <c r="AI8" s="1"/>
      <c r="AJ8" s="1"/>
      <c r="AK8" s="1"/>
      <c r="AL8" s="1"/>
      <c r="AM8" s="1"/>
      <c r="AN8" s="1"/>
      <c r="AO8" s="1"/>
      <c r="AP8" s="1"/>
      <c r="AQ8" s="1"/>
      <c r="AR8" s="1"/>
      <c r="AS8" s="1"/>
      <c r="AT8" s="1"/>
      <c r="AU8" s="1"/>
      <c r="AV8" s="1"/>
    </row>
    <row r="9" spans="1:48">
      <c r="A9" s="7" t="s">
        <v>9</v>
      </c>
      <c r="B9" s="7">
        <v>49.363922301079008</v>
      </c>
      <c r="C9" s="7">
        <v>47.977441101903771</v>
      </c>
      <c r="D9" s="7">
        <v>45.150080701752287</v>
      </c>
      <c r="E9" s="7">
        <v>17.203006933592341</v>
      </c>
      <c r="F9" s="7">
        <v>55.636549136151558</v>
      </c>
      <c r="G9" s="7">
        <v>34.622331528766203</v>
      </c>
      <c r="H9" s="7">
        <v>63.193474755054559</v>
      </c>
      <c r="I9" s="7">
        <v>59.647480010776547</v>
      </c>
      <c r="J9" s="7">
        <v>7.901517792412549</v>
      </c>
      <c r="K9" s="7">
        <v>36.947051988787138</v>
      </c>
      <c r="L9" s="1"/>
      <c r="M9" s="1"/>
      <c r="N9" s="177" t="s">
        <v>90</v>
      </c>
      <c r="O9" s="177"/>
      <c r="P9" s="7">
        <v>1.2907347463556889</v>
      </c>
      <c r="Q9" s="7">
        <v>-0.75930294337591153</v>
      </c>
      <c r="R9" s="7">
        <v>-0.30909762257626427</v>
      </c>
      <c r="S9" s="7">
        <v>-0.68151514279847802</v>
      </c>
      <c r="T9" s="7">
        <v>3.7601586613910927</v>
      </c>
      <c r="U9" s="7">
        <v>-0.19486026611335694</v>
      </c>
      <c r="V9" s="7">
        <v>-0.78643671578150887</v>
      </c>
      <c r="W9" s="7">
        <v>-0.15406404342025493</v>
      </c>
      <c r="X9" s="7">
        <v>-0.73825680760858114</v>
      </c>
      <c r="Y9" s="7">
        <v>0.76209265193361508</v>
      </c>
      <c r="Z9" s="1"/>
      <c r="AA9" s="1"/>
      <c r="AB9" s="1"/>
      <c r="AC9" s="1"/>
      <c r="AD9" s="1"/>
      <c r="AE9" s="1"/>
      <c r="AF9" s="1"/>
      <c r="AG9" s="1"/>
      <c r="AH9" s="1"/>
      <c r="AI9" s="1"/>
      <c r="AJ9" s="1"/>
      <c r="AK9" s="1"/>
      <c r="AL9" s="1"/>
      <c r="AM9" s="1"/>
      <c r="AN9" s="1"/>
      <c r="AO9" s="1"/>
      <c r="AP9" s="1"/>
      <c r="AQ9" s="1"/>
      <c r="AR9" s="1"/>
      <c r="AS9" s="1"/>
      <c r="AT9" s="1"/>
      <c r="AU9" s="1"/>
      <c r="AV9" s="1"/>
    </row>
    <row r="10" spans="1:48">
      <c r="A10" s="7" t="s">
        <v>10</v>
      </c>
      <c r="B10" s="7">
        <v>61.877135735125002</v>
      </c>
      <c r="C10" s="7">
        <v>23.060018803724521</v>
      </c>
      <c r="D10" s="7">
        <v>25.16468010617093</v>
      </c>
      <c r="E10" s="7">
        <v>50.874603779579871</v>
      </c>
      <c r="F10" s="7">
        <v>57.152762889644613</v>
      </c>
      <c r="G10" s="7">
        <v>36.362768099306031</v>
      </c>
      <c r="H10" s="7">
        <v>50.963697907869211</v>
      </c>
      <c r="I10" s="7">
        <v>52.992602883895913</v>
      </c>
      <c r="J10" s="7">
        <v>25.343124267628362</v>
      </c>
      <c r="K10" s="7">
        <v>34.561137396083517</v>
      </c>
      <c r="L10" s="1"/>
      <c r="M10" s="1"/>
      <c r="N10" s="179" t="s">
        <v>91</v>
      </c>
      <c r="O10" s="179"/>
      <c r="P10" s="7">
        <v>0.54145973262717406</v>
      </c>
      <c r="Q10" s="7">
        <v>0.54145973262717406</v>
      </c>
      <c r="R10" s="7">
        <v>0.54145973262717406</v>
      </c>
      <c r="S10" s="7">
        <v>0.54145973262717406</v>
      </c>
      <c r="T10" s="7">
        <v>0.54145973262717406</v>
      </c>
      <c r="U10" s="7">
        <v>0.54145973262717406</v>
      </c>
      <c r="V10" s="7">
        <v>0.54145973262717406</v>
      </c>
      <c r="W10" s="7">
        <v>0.54145973262717406</v>
      </c>
      <c r="X10" s="7">
        <v>0.54145973262717406</v>
      </c>
      <c r="Y10" s="7">
        <v>0.54145973262717406</v>
      </c>
      <c r="Z10" s="1"/>
      <c r="AA10" s="1"/>
      <c r="AB10" s="1"/>
      <c r="AC10" s="1"/>
      <c r="AD10" s="1"/>
      <c r="AE10" s="1"/>
      <c r="AF10" s="1"/>
      <c r="AG10" s="1"/>
      <c r="AH10" s="1"/>
      <c r="AI10" s="1"/>
      <c r="AJ10" s="1"/>
      <c r="AK10" s="1"/>
      <c r="AL10" s="1"/>
      <c r="AM10" s="1"/>
      <c r="AN10" s="1"/>
      <c r="AO10" s="1"/>
      <c r="AP10" s="1"/>
      <c r="AQ10" s="1"/>
      <c r="AR10" s="1"/>
      <c r="AS10" s="1"/>
      <c r="AT10" s="1"/>
      <c r="AU10" s="1"/>
      <c r="AV10" s="1"/>
    </row>
    <row r="11" spans="1:48">
      <c r="A11" s="7" t="s">
        <v>11</v>
      </c>
      <c r="B11" s="7">
        <v>65.594674608951394</v>
      </c>
      <c r="C11" s="7">
        <v>11.81874741473287</v>
      </c>
      <c r="D11" s="7">
        <v>20.584318799345759</v>
      </c>
      <c r="E11" s="7">
        <v>37.93521446112009</v>
      </c>
      <c r="F11" s="7">
        <v>66.463296937096871</v>
      </c>
      <c r="G11" s="7">
        <v>48.670136718529818</v>
      </c>
      <c r="H11" s="7">
        <v>21.55317307648566</v>
      </c>
      <c r="I11" s="7">
        <v>37.472970882810877</v>
      </c>
      <c r="J11" s="7">
        <v>24.271005693032951</v>
      </c>
      <c r="K11" s="7">
        <v>42.313260338281481</v>
      </c>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row>
    <row r="12" spans="1:48" ht="14.4" customHeight="1">
      <c r="A12" s="7" t="s">
        <v>12</v>
      </c>
      <c r="B12" s="7">
        <v>56.754396805173442</v>
      </c>
      <c r="C12" s="7">
        <v>17.78534078668584</v>
      </c>
      <c r="D12" s="7">
        <v>27.278629077920549</v>
      </c>
      <c r="E12" s="7">
        <v>37.213935385239118</v>
      </c>
      <c r="F12" s="7">
        <v>58.948159383705487</v>
      </c>
      <c r="G12" s="7">
        <v>30.263372958992289</v>
      </c>
      <c r="H12" s="7">
        <v>44.793515042873203</v>
      </c>
      <c r="I12" s="7">
        <v>51.592262317844231</v>
      </c>
      <c r="J12" s="7">
        <v>17.00838971142559</v>
      </c>
      <c r="K12" s="7">
        <v>34.108416292553393</v>
      </c>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row>
    <row r="13" spans="1:48" ht="75" customHeight="1">
      <c r="A13" s="7" t="s">
        <v>13</v>
      </c>
      <c r="B13" s="7">
        <v>62.550320996354962</v>
      </c>
      <c r="C13" s="7">
        <v>15.276592721584549</v>
      </c>
      <c r="D13" s="7">
        <v>20.060104833439581</v>
      </c>
      <c r="E13" s="7">
        <v>49.415907168529202</v>
      </c>
      <c r="F13" s="7">
        <v>64.585103713888714</v>
      </c>
      <c r="G13" s="7">
        <v>38.660491515434863</v>
      </c>
      <c r="H13" s="7">
        <v>35.475678700110898</v>
      </c>
      <c r="I13" s="7">
        <v>41.381959781309121</v>
      </c>
      <c r="J13" s="7">
        <v>25.769679590577709</v>
      </c>
      <c r="K13" s="7">
        <v>39.15315742181506</v>
      </c>
      <c r="L13" s="1"/>
      <c r="M13" s="1"/>
      <c r="N13" s="174" t="s">
        <v>153</v>
      </c>
      <c r="O13" s="174"/>
      <c r="P13" s="50" t="s">
        <v>178</v>
      </c>
      <c r="Q13" s="50" t="s">
        <v>181</v>
      </c>
      <c r="R13" s="1"/>
      <c r="S13" s="1"/>
      <c r="T13" s="175" t="s">
        <v>153</v>
      </c>
      <c r="U13" s="176"/>
      <c r="V13" s="50" t="s">
        <v>178</v>
      </c>
      <c r="W13" s="50" t="s">
        <v>181</v>
      </c>
      <c r="X13" s="1"/>
      <c r="Y13" s="174" t="s">
        <v>153</v>
      </c>
      <c r="Z13" s="174"/>
      <c r="AA13" s="50" t="s">
        <v>179</v>
      </c>
      <c r="AB13" s="50" t="s">
        <v>181</v>
      </c>
      <c r="AC13" s="1"/>
      <c r="AD13" s="1"/>
      <c r="AE13" s="1"/>
      <c r="AF13" s="1"/>
      <c r="AG13" s="1"/>
      <c r="AH13" s="1"/>
      <c r="AI13" s="1"/>
      <c r="AJ13" s="1"/>
      <c r="AK13" s="1"/>
      <c r="AL13" s="1"/>
      <c r="AM13" s="1"/>
      <c r="AN13" s="1"/>
      <c r="AO13" s="1"/>
      <c r="AP13" s="1"/>
      <c r="AQ13" s="1"/>
      <c r="AR13" s="1"/>
      <c r="AS13" s="1"/>
      <c r="AT13" s="1"/>
      <c r="AU13" s="1"/>
      <c r="AV13" s="1"/>
    </row>
    <row r="14" spans="1:48" ht="22.8" customHeight="1">
      <c r="A14" s="7" t="s">
        <v>14</v>
      </c>
      <c r="B14" s="7">
        <v>51.159745587538083</v>
      </c>
      <c r="C14" s="7">
        <v>21.85646305875672</v>
      </c>
      <c r="D14" s="7">
        <v>27.184226857787269</v>
      </c>
      <c r="E14" s="7">
        <v>39.837075735987973</v>
      </c>
      <c r="F14" s="7">
        <v>57.3200369519313</v>
      </c>
      <c r="G14" s="7">
        <v>34.842170717002219</v>
      </c>
      <c r="H14" s="7">
        <v>39.253288472553713</v>
      </c>
      <c r="I14" s="7">
        <v>43.644843213396257</v>
      </c>
      <c r="J14" s="7">
        <v>23.33936257996239</v>
      </c>
      <c r="K14" s="7">
        <v>38.689100789289697</v>
      </c>
      <c r="L14" s="1"/>
      <c r="M14" s="1"/>
      <c r="N14" s="168" t="s">
        <v>185</v>
      </c>
      <c r="O14" s="52" t="s">
        <v>154</v>
      </c>
      <c r="P14" s="7">
        <v>1</v>
      </c>
      <c r="Q14" s="7" t="s">
        <v>192</v>
      </c>
      <c r="R14" s="1"/>
      <c r="S14" s="1"/>
      <c r="T14" s="171" t="s">
        <v>188</v>
      </c>
      <c r="U14" s="52" t="s">
        <v>154</v>
      </c>
      <c r="V14" s="7">
        <v>1</v>
      </c>
      <c r="W14" s="7" t="s">
        <v>193</v>
      </c>
      <c r="X14" s="1"/>
      <c r="Y14" s="168" t="s">
        <v>186</v>
      </c>
      <c r="Z14" s="52" t="s">
        <v>154</v>
      </c>
      <c r="AA14" s="7">
        <v>1</v>
      </c>
      <c r="AB14" s="7" t="s">
        <v>194</v>
      </c>
      <c r="AC14" s="1"/>
      <c r="AD14" s="1"/>
      <c r="AE14" s="1"/>
      <c r="AF14" s="1"/>
      <c r="AG14" s="1"/>
      <c r="AH14" s="1"/>
      <c r="AI14" s="1"/>
      <c r="AJ14" s="1"/>
      <c r="AK14" s="1"/>
      <c r="AL14" s="1"/>
      <c r="AM14" s="1"/>
      <c r="AN14" s="1"/>
      <c r="AO14" s="1"/>
      <c r="AP14" s="1"/>
      <c r="AQ14" s="1"/>
      <c r="AR14" s="1"/>
      <c r="AS14" s="1"/>
      <c r="AT14" s="1"/>
      <c r="AU14" s="1"/>
      <c r="AV14" s="1"/>
    </row>
    <row r="15" spans="1:48" ht="22.8">
      <c r="A15" s="7" t="s">
        <v>15</v>
      </c>
      <c r="B15" s="7">
        <v>61.473138330958321</v>
      </c>
      <c r="C15" s="7">
        <v>15.732889074122371</v>
      </c>
      <c r="D15" s="7">
        <v>13.710464051549041</v>
      </c>
      <c r="E15" s="7">
        <v>43.321526469905237</v>
      </c>
      <c r="F15" s="7">
        <v>65.584968378110148</v>
      </c>
      <c r="G15" s="7">
        <v>37.816284440662628</v>
      </c>
      <c r="H15" s="7">
        <v>38.540406545253099</v>
      </c>
      <c r="I15" s="7">
        <v>35.368180026762538</v>
      </c>
      <c r="J15" s="7">
        <v>24.05782134299594</v>
      </c>
      <c r="K15" s="7">
        <v>42.007471087389327</v>
      </c>
      <c r="L15" s="1"/>
      <c r="M15" s="1"/>
      <c r="N15" s="169"/>
      <c r="O15" s="53" t="s">
        <v>157</v>
      </c>
      <c r="P15" s="7"/>
      <c r="Q15" s="7">
        <v>8.9053584483737594E-11</v>
      </c>
      <c r="R15" s="1"/>
      <c r="S15" s="1"/>
      <c r="T15" s="169"/>
      <c r="U15" s="53" t="s">
        <v>157</v>
      </c>
      <c r="V15" s="7"/>
      <c r="W15" s="7">
        <v>1.0705981572496535E-8</v>
      </c>
      <c r="X15" s="1"/>
      <c r="Y15" s="169"/>
      <c r="Z15" s="53" t="s">
        <v>157</v>
      </c>
      <c r="AA15" s="7"/>
      <c r="AB15" s="7">
        <v>2.1850193237635496E-15</v>
      </c>
      <c r="AC15" s="1"/>
      <c r="AD15" s="1"/>
      <c r="AE15" s="1"/>
      <c r="AF15" s="1"/>
      <c r="AG15" s="1"/>
      <c r="AH15" s="1"/>
      <c r="AI15" s="1"/>
      <c r="AJ15" s="1"/>
      <c r="AK15" s="1"/>
      <c r="AL15" s="1"/>
      <c r="AM15" s="1"/>
      <c r="AN15" s="1"/>
      <c r="AO15" s="1"/>
      <c r="AP15" s="1"/>
      <c r="AQ15" s="1"/>
      <c r="AR15" s="1"/>
      <c r="AS15" s="1"/>
      <c r="AT15" s="1"/>
      <c r="AU15" s="1"/>
      <c r="AV15" s="1"/>
    </row>
    <row r="16" spans="1:48">
      <c r="A16" s="7" t="s">
        <v>16</v>
      </c>
      <c r="B16" s="7">
        <v>58.643360560485249</v>
      </c>
      <c r="C16" s="7">
        <v>26.383321720910612</v>
      </c>
      <c r="D16" s="7">
        <v>24.172178127932419</v>
      </c>
      <c r="E16" s="7">
        <v>22.666427369953599</v>
      </c>
      <c r="F16" s="7">
        <v>48.555409192435157</v>
      </c>
      <c r="G16" s="7">
        <v>36.891197146419337</v>
      </c>
      <c r="H16" s="7">
        <v>44.893491231639473</v>
      </c>
      <c r="I16" s="7">
        <v>52.026535268410669</v>
      </c>
      <c r="J16" s="7">
        <v>9.5307013163445493</v>
      </c>
      <c r="K16" s="7">
        <v>25.816585250320362</v>
      </c>
      <c r="L16" s="1"/>
      <c r="M16" s="1"/>
      <c r="N16" s="170"/>
      <c r="O16" s="55" t="s">
        <v>158</v>
      </c>
      <c r="P16" s="7">
        <v>77</v>
      </c>
      <c r="Q16" s="7">
        <v>77</v>
      </c>
      <c r="R16" s="1"/>
      <c r="S16" s="1"/>
      <c r="T16" s="170"/>
      <c r="U16" s="55" t="s">
        <v>158</v>
      </c>
      <c r="V16" s="7">
        <v>77</v>
      </c>
      <c r="W16" s="7">
        <v>77</v>
      </c>
      <c r="X16" s="1"/>
      <c r="Y16" s="170"/>
      <c r="Z16" s="55" t="s">
        <v>158</v>
      </c>
      <c r="AA16" s="7">
        <v>77</v>
      </c>
      <c r="AB16" s="7">
        <v>77</v>
      </c>
      <c r="AC16" s="1"/>
      <c r="AD16" s="1"/>
      <c r="AE16" s="1"/>
      <c r="AF16" s="1"/>
      <c r="AG16" s="1"/>
      <c r="AH16" s="1"/>
      <c r="AI16" s="1"/>
      <c r="AJ16" s="1"/>
      <c r="AK16" s="1"/>
      <c r="AL16" s="1"/>
      <c r="AM16" s="1"/>
      <c r="AN16" s="1"/>
      <c r="AO16" s="1"/>
      <c r="AP16" s="1"/>
      <c r="AQ16" s="1"/>
      <c r="AR16" s="1"/>
      <c r="AS16" s="1"/>
      <c r="AT16" s="1"/>
      <c r="AU16" s="1"/>
      <c r="AV16" s="1"/>
    </row>
    <row r="17" spans="1:48" ht="22.8" customHeight="1">
      <c r="A17" s="7" t="s">
        <v>17</v>
      </c>
      <c r="B17" s="7">
        <v>53.135970330848117</v>
      </c>
      <c r="C17" s="7">
        <v>20.404496441163531</v>
      </c>
      <c r="D17" s="7">
        <v>20.655597887152339</v>
      </c>
      <c r="E17" s="7">
        <v>40.677477726450263</v>
      </c>
      <c r="F17" s="7">
        <v>63.229536394542883</v>
      </c>
      <c r="G17" s="7">
        <v>28.167046593904601</v>
      </c>
      <c r="H17" s="7">
        <v>48.877979407747063</v>
      </c>
      <c r="I17" s="7">
        <v>49.1147591377891</v>
      </c>
      <c r="J17" s="7">
        <v>19.514521409307079</v>
      </c>
      <c r="K17" s="7">
        <v>34.453499475645792</v>
      </c>
      <c r="L17" s="1"/>
      <c r="M17" s="1"/>
      <c r="N17" s="172" t="s">
        <v>187</v>
      </c>
      <c r="O17" s="53" t="s">
        <v>154</v>
      </c>
      <c r="P17" s="7" t="s">
        <v>192</v>
      </c>
      <c r="Q17" s="7">
        <v>1</v>
      </c>
      <c r="R17" s="1"/>
      <c r="S17" s="1"/>
      <c r="T17" s="172" t="s">
        <v>189</v>
      </c>
      <c r="U17" s="53" t="s">
        <v>154</v>
      </c>
      <c r="V17" s="7" t="s">
        <v>193</v>
      </c>
      <c r="W17" s="7">
        <v>1</v>
      </c>
      <c r="X17" s="1"/>
      <c r="Y17" s="172" t="s">
        <v>187</v>
      </c>
      <c r="Z17" s="53" t="s">
        <v>154</v>
      </c>
      <c r="AA17" s="7" t="s">
        <v>194</v>
      </c>
      <c r="AB17" s="7">
        <v>1</v>
      </c>
      <c r="AC17" s="1"/>
      <c r="AD17" s="1"/>
      <c r="AE17" s="1"/>
      <c r="AF17" s="1"/>
      <c r="AG17" s="1"/>
      <c r="AH17" s="1"/>
      <c r="AI17" s="1"/>
      <c r="AJ17" s="1"/>
      <c r="AK17" s="1"/>
      <c r="AL17" s="1"/>
      <c r="AM17" s="1"/>
      <c r="AN17" s="1"/>
      <c r="AO17" s="1"/>
      <c r="AP17" s="1"/>
      <c r="AQ17" s="1"/>
      <c r="AR17" s="1"/>
      <c r="AS17" s="1"/>
      <c r="AT17" s="1"/>
      <c r="AU17" s="1"/>
      <c r="AV17" s="1"/>
    </row>
    <row r="18" spans="1:48" ht="22.8">
      <c r="A18" s="7" t="s">
        <v>18</v>
      </c>
      <c r="B18" s="7">
        <v>64.126230523391939</v>
      </c>
      <c r="C18" s="7">
        <v>18.117410227356629</v>
      </c>
      <c r="D18" s="7">
        <v>26.783434332299329</v>
      </c>
      <c r="E18" s="7">
        <v>36.507564790566938</v>
      </c>
      <c r="F18" s="7">
        <v>60.485560764152822</v>
      </c>
      <c r="G18" s="7">
        <v>49.299557363214483</v>
      </c>
      <c r="H18" s="7">
        <v>29.0518555489347</v>
      </c>
      <c r="I18" s="7">
        <v>43.284478745535033</v>
      </c>
      <c r="J18" s="7">
        <v>25.061699365909782</v>
      </c>
      <c r="K18" s="7">
        <v>41.858904277174076</v>
      </c>
      <c r="L18" s="1"/>
      <c r="M18" s="1"/>
      <c r="N18" s="169"/>
      <c r="O18" s="53" t="s">
        <v>157</v>
      </c>
      <c r="P18" s="7">
        <v>8.9053584483737594E-11</v>
      </c>
      <c r="Q18" s="7"/>
      <c r="R18" s="1"/>
      <c r="S18" s="1"/>
      <c r="T18" s="169"/>
      <c r="U18" s="53" t="s">
        <v>157</v>
      </c>
      <c r="V18" s="7">
        <v>1.0705981572496535E-8</v>
      </c>
      <c r="W18" s="7"/>
      <c r="X18" s="1"/>
      <c r="Y18" s="169"/>
      <c r="Z18" s="53" t="s">
        <v>157</v>
      </c>
      <c r="AA18" s="7">
        <v>2.1850193237635496E-15</v>
      </c>
      <c r="AB18" s="7"/>
      <c r="AC18" s="1"/>
      <c r="AD18" s="1"/>
      <c r="AE18" s="1"/>
      <c r="AF18" s="1"/>
      <c r="AG18" s="1"/>
      <c r="AH18" s="1"/>
      <c r="AI18" s="1"/>
      <c r="AJ18" s="1"/>
      <c r="AK18" s="1"/>
      <c r="AL18" s="1"/>
      <c r="AM18" s="1"/>
      <c r="AN18" s="1"/>
      <c r="AO18" s="1"/>
      <c r="AP18" s="1"/>
      <c r="AQ18" s="1"/>
      <c r="AR18" s="1"/>
      <c r="AS18" s="1"/>
      <c r="AT18" s="1"/>
      <c r="AU18" s="1"/>
      <c r="AV18" s="1"/>
    </row>
    <row r="19" spans="1:48">
      <c r="A19" s="7" t="s">
        <v>19</v>
      </c>
      <c r="B19" s="7">
        <v>59.002110127127928</v>
      </c>
      <c r="C19" s="7">
        <v>22.06656657575201</v>
      </c>
      <c r="D19" s="7">
        <v>22.959582342114501</v>
      </c>
      <c r="E19" s="7">
        <v>32.39527022451351</v>
      </c>
      <c r="F19" s="7">
        <v>60.842533583058177</v>
      </c>
      <c r="G19" s="7">
        <v>44.148716013456493</v>
      </c>
      <c r="H19" s="7">
        <v>39.317844807534541</v>
      </c>
      <c r="I19" s="7">
        <v>43.803007931549359</v>
      </c>
      <c r="J19" s="7">
        <v>21.306999922910741</v>
      </c>
      <c r="K19" s="7">
        <v>43.224075658956792</v>
      </c>
      <c r="L19" s="1"/>
      <c r="M19" s="1"/>
      <c r="N19" s="173"/>
      <c r="O19" s="54" t="s">
        <v>158</v>
      </c>
      <c r="P19" s="7">
        <v>77</v>
      </c>
      <c r="Q19" s="7">
        <v>77</v>
      </c>
      <c r="R19" s="1"/>
      <c r="S19" s="1"/>
      <c r="T19" s="173"/>
      <c r="U19" s="54" t="s">
        <v>158</v>
      </c>
      <c r="V19" s="7">
        <v>77</v>
      </c>
      <c r="W19" s="7">
        <v>77</v>
      </c>
      <c r="X19" s="1"/>
      <c r="Y19" s="173"/>
      <c r="Z19" s="54" t="s">
        <v>158</v>
      </c>
      <c r="AA19" s="7">
        <v>77</v>
      </c>
      <c r="AB19" s="7">
        <v>77</v>
      </c>
      <c r="AC19" s="1"/>
      <c r="AD19" s="1"/>
      <c r="AE19" s="1"/>
      <c r="AF19" s="1"/>
      <c r="AG19" s="1"/>
      <c r="AH19" s="1"/>
      <c r="AI19" s="1"/>
      <c r="AJ19" s="1"/>
      <c r="AK19" s="1"/>
      <c r="AL19" s="1"/>
      <c r="AM19" s="1"/>
      <c r="AN19" s="1"/>
      <c r="AO19" s="1"/>
      <c r="AP19" s="1"/>
      <c r="AQ19" s="1"/>
      <c r="AR19" s="1"/>
      <c r="AS19" s="1"/>
      <c r="AT19" s="1"/>
      <c r="AU19" s="1"/>
      <c r="AV19" s="1"/>
    </row>
    <row r="20" spans="1:48" ht="14.4" customHeight="1">
      <c r="A20" s="7" t="s">
        <v>20</v>
      </c>
      <c r="B20" s="7">
        <v>51.627715824540999</v>
      </c>
      <c r="C20" s="7">
        <v>32.701248263692769</v>
      </c>
      <c r="D20" s="7">
        <v>32.325397057839801</v>
      </c>
      <c r="E20" s="7">
        <v>34.65430806618982</v>
      </c>
      <c r="F20" s="7">
        <v>58.693020759855877</v>
      </c>
      <c r="G20" s="7">
        <v>38.2401278663204</v>
      </c>
      <c r="H20" s="7">
        <v>49.257774320961573</v>
      </c>
      <c r="I20" s="7">
        <v>45.997263623183137</v>
      </c>
      <c r="J20" s="7">
        <v>20.731300599520271</v>
      </c>
      <c r="K20" s="7">
        <v>40.928198651294721</v>
      </c>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row>
    <row r="21" spans="1:48" ht="14.4" customHeight="1">
      <c r="A21" s="7" t="s">
        <v>21</v>
      </c>
      <c r="B21" s="7">
        <v>50.417541847558432</v>
      </c>
      <c r="C21" s="7">
        <v>23.692712756391462</v>
      </c>
      <c r="D21" s="7">
        <v>27.40092731083373</v>
      </c>
      <c r="E21" s="7">
        <v>37.099021067506079</v>
      </c>
      <c r="F21" s="7">
        <v>63.203170504496804</v>
      </c>
      <c r="G21" s="7">
        <v>25.75700074926991</v>
      </c>
      <c r="H21" s="7">
        <v>55.563453898507923</v>
      </c>
      <c r="I21" s="7">
        <v>54.688489653103701</v>
      </c>
      <c r="J21" s="7">
        <v>14.49629343796602</v>
      </c>
      <c r="K21" s="7">
        <v>31.21050898784366</v>
      </c>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row>
    <row r="22" spans="1:48" ht="26.4">
      <c r="A22" s="7" t="s">
        <v>22</v>
      </c>
      <c r="B22" s="7">
        <v>43.428525873570059</v>
      </c>
      <c r="C22" s="7">
        <v>42.036713752912789</v>
      </c>
      <c r="D22" s="7">
        <v>41.534252549444993</v>
      </c>
      <c r="E22" s="7">
        <v>18.346091327354209</v>
      </c>
      <c r="F22" s="7">
        <v>33.569325271775853</v>
      </c>
      <c r="G22" s="7">
        <v>35.377754738927472</v>
      </c>
      <c r="H22" s="7">
        <v>48.224603584086218</v>
      </c>
      <c r="I22" s="7">
        <v>44.816446210150048</v>
      </c>
      <c r="J22" s="7">
        <v>13.00133637557877</v>
      </c>
      <c r="K22" s="7">
        <v>22.635681287994561</v>
      </c>
      <c r="L22" s="1"/>
      <c r="M22" s="1"/>
      <c r="N22" s="50" t="s">
        <v>136</v>
      </c>
      <c r="O22" s="50" t="s">
        <v>137</v>
      </c>
      <c r="P22" s="50" t="s">
        <v>138</v>
      </c>
      <c r="Q22" s="50" t="s">
        <v>139</v>
      </c>
      <c r="R22" s="50" t="s">
        <v>140</v>
      </c>
      <c r="S22" s="50" t="s">
        <v>141</v>
      </c>
      <c r="T22" s="50" t="s">
        <v>136</v>
      </c>
      <c r="U22" s="50" t="s">
        <v>137</v>
      </c>
      <c r="V22" s="50" t="s">
        <v>138</v>
      </c>
      <c r="W22" s="50" t="s">
        <v>139</v>
      </c>
      <c r="X22" s="50" t="s">
        <v>140</v>
      </c>
      <c r="Y22" s="50" t="s">
        <v>141</v>
      </c>
      <c r="Z22" s="1"/>
      <c r="AA22" s="1"/>
      <c r="AB22" s="1"/>
      <c r="AC22" s="1"/>
      <c r="AD22" s="1"/>
      <c r="AE22" s="1"/>
      <c r="AF22" s="1"/>
      <c r="AG22" s="1"/>
      <c r="AH22" s="1"/>
      <c r="AI22" s="1"/>
      <c r="AJ22" s="1"/>
      <c r="AK22" s="1"/>
      <c r="AL22" s="1"/>
      <c r="AM22" s="1"/>
      <c r="AN22" s="1"/>
      <c r="AO22" s="1"/>
      <c r="AP22" s="1"/>
      <c r="AQ22" s="1"/>
      <c r="AR22" s="1"/>
      <c r="AS22" s="1"/>
      <c r="AT22" s="1"/>
      <c r="AU22" s="1"/>
    </row>
    <row r="23" spans="1:48">
      <c r="A23" s="7" t="s">
        <v>23</v>
      </c>
      <c r="B23" s="7">
        <v>57.526206841957638</v>
      </c>
      <c r="C23" s="7">
        <v>40.208693675271697</v>
      </c>
      <c r="D23" s="7">
        <v>41.712494666158968</v>
      </c>
      <c r="E23" s="7">
        <v>19.722738455266938</v>
      </c>
      <c r="F23" s="7">
        <v>40.390085184757261</v>
      </c>
      <c r="G23" s="7">
        <v>50.046073913651888</v>
      </c>
      <c r="H23" s="7">
        <v>44.316639173086521</v>
      </c>
      <c r="I23" s="7">
        <v>49.140941664430997</v>
      </c>
      <c r="J23" s="7">
        <v>10.928428345727591</v>
      </c>
      <c r="K23" s="7">
        <v>28.250221914649021</v>
      </c>
      <c r="L23" s="1"/>
      <c r="M23" s="1"/>
      <c r="N23" s="52" t="s">
        <v>195</v>
      </c>
      <c r="O23" s="7">
        <v>3953.5481356426099</v>
      </c>
      <c r="P23" s="7">
        <v>1</v>
      </c>
      <c r="Q23" s="7">
        <v>3953.5481356426099</v>
      </c>
      <c r="R23" s="7">
        <v>56.854965474850751</v>
      </c>
      <c r="S23" s="7" t="s">
        <v>196</v>
      </c>
      <c r="T23" s="52" t="s">
        <v>195</v>
      </c>
      <c r="U23" s="7">
        <v>1441.89529227194</v>
      </c>
      <c r="V23" s="7">
        <v>1</v>
      </c>
      <c r="W23" s="7">
        <v>1441.89529227194</v>
      </c>
      <c r="X23" s="7">
        <v>41.327903559954663</v>
      </c>
      <c r="Y23" s="7" t="s">
        <v>196</v>
      </c>
      <c r="Z23" s="1"/>
      <c r="AA23" s="1"/>
      <c r="AB23" s="1"/>
      <c r="AC23" s="1"/>
      <c r="AD23" s="1"/>
      <c r="AE23" s="1"/>
      <c r="AF23" s="1"/>
      <c r="AG23" s="1"/>
      <c r="AH23" s="1"/>
      <c r="AI23" s="1"/>
      <c r="AJ23" s="1"/>
      <c r="AK23" s="1"/>
      <c r="AL23" s="1"/>
      <c r="AM23" s="1"/>
      <c r="AN23" s="1"/>
      <c r="AO23" s="1"/>
      <c r="AP23" s="1"/>
      <c r="AQ23" s="1"/>
      <c r="AR23" s="1"/>
      <c r="AS23" s="1"/>
      <c r="AT23" s="1"/>
      <c r="AU23" s="1"/>
    </row>
    <row r="24" spans="1:48">
      <c r="A24" s="7" t="s">
        <v>24</v>
      </c>
      <c r="B24" s="7">
        <v>56.865687896006833</v>
      </c>
      <c r="C24" s="7">
        <v>21.54154816686583</v>
      </c>
      <c r="D24" s="7">
        <v>27.44461842643258</v>
      </c>
      <c r="E24" s="7">
        <v>37.559600851604387</v>
      </c>
      <c r="F24" s="7">
        <v>64.726976640334954</v>
      </c>
      <c r="G24" s="7">
        <v>32.921660535023989</v>
      </c>
      <c r="H24" s="7">
        <v>44.439891827403301</v>
      </c>
      <c r="I24" s="7">
        <v>51.879748476907061</v>
      </c>
      <c r="J24" s="7">
        <v>17.21818970034191</v>
      </c>
      <c r="K24" s="7">
        <v>38.884318328077143</v>
      </c>
      <c r="L24" s="1"/>
      <c r="M24" s="1"/>
      <c r="N24" s="53" t="s">
        <v>197</v>
      </c>
      <c r="O24" s="7">
        <v>5215.3071890327119</v>
      </c>
      <c r="P24" s="7">
        <v>75</v>
      </c>
      <c r="Q24" s="7">
        <v>69.53742918710283</v>
      </c>
      <c r="R24" s="7"/>
      <c r="S24" s="7"/>
      <c r="T24" s="53" t="s">
        <v>197</v>
      </c>
      <c r="U24" s="7">
        <v>2616.6860064293601</v>
      </c>
      <c r="V24" s="7">
        <v>75</v>
      </c>
      <c r="W24" s="7">
        <v>34.889146752391468</v>
      </c>
      <c r="X24" s="7"/>
      <c r="Y24" s="7"/>
      <c r="Z24" s="1"/>
      <c r="AA24" s="1"/>
      <c r="AB24" s="1"/>
      <c r="AC24" s="1"/>
      <c r="AD24" s="1"/>
      <c r="AE24" s="1"/>
      <c r="AF24" s="1"/>
      <c r="AG24" s="1"/>
      <c r="AH24" s="1"/>
      <c r="AI24" s="1"/>
      <c r="AJ24" s="1"/>
      <c r="AK24" s="1"/>
      <c r="AL24" s="1"/>
      <c r="AM24" s="1"/>
      <c r="AN24" s="1"/>
      <c r="AO24" s="1"/>
      <c r="AP24" s="1"/>
      <c r="AQ24" s="1"/>
      <c r="AR24" s="1"/>
      <c r="AS24" s="1"/>
      <c r="AT24" s="1"/>
      <c r="AU24" s="1"/>
    </row>
    <row r="25" spans="1:48">
      <c r="A25" s="7" t="s">
        <v>25</v>
      </c>
      <c r="B25" s="7">
        <v>67.768782789354177</v>
      </c>
      <c r="C25" s="7">
        <v>23.40459484278151</v>
      </c>
      <c r="D25" s="7">
        <v>30.32053795078841</v>
      </c>
      <c r="E25" s="7">
        <v>45.359141989969537</v>
      </c>
      <c r="F25" s="7">
        <v>68.130773917248703</v>
      </c>
      <c r="G25" s="7">
        <v>51.129654274205471</v>
      </c>
      <c r="H25" s="7">
        <v>45.321990648777991</v>
      </c>
      <c r="I25" s="7">
        <v>51.273425451049782</v>
      </c>
      <c r="J25" s="7">
        <v>23.232320968515889</v>
      </c>
      <c r="K25" s="7">
        <v>49.16288114106387</v>
      </c>
      <c r="L25" s="1"/>
      <c r="M25" s="1"/>
      <c r="N25" s="54" t="s">
        <v>144</v>
      </c>
      <c r="O25" s="7">
        <v>9168.8553246753218</v>
      </c>
      <c r="P25" s="7">
        <v>76</v>
      </c>
      <c r="Q25" s="7"/>
      <c r="R25" s="7"/>
      <c r="S25" s="7"/>
      <c r="T25" s="54" t="s">
        <v>144</v>
      </c>
      <c r="U25" s="7">
        <v>4058.5812987013001</v>
      </c>
      <c r="V25" s="7">
        <v>76</v>
      </c>
      <c r="W25" s="7"/>
      <c r="X25" s="7"/>
      <c r="Y25" s="7"/>
      <c r="Z25" s="1"/>
      <c r="AA25" s="1"/>
      <c r="AB25" s="1"/>
      <c r="AC25" s="1"/>
      <c r="AD25" s="1"/>
      <c r="AE25" s="1"/>
      <c r="AF25" s="1"/>
      <c r="AG25" s="1"/>
      <c r="AH25" s="1"/>
      <c r="AI25" s="1"/>
      <c r="AJ25" s="1"/>
      <c r="AK25" s="1"/>
      <c r="AL25" s="1"/>
      <c r="AM25" s="1"/>
      <c r="AN25" s="1"/>
      <c r="AO25" s="1"/>
      <c r="AP25" s="1"/>
      <c r="AQ25" s="1"/>
      <c r="AR25" s="1"/>
      <c r="AS25" s="1"/>
      <c r="AT25" s="1"/>
      <c r="AU25" s="1"/>
    </row>
    <row r="26" spans="1:48" ht="14.4" customHeight="1">
      <c r="A26" s="7" t="s">
        <v>26</v>
      </c>
      <c r="B26" s="7">
        <v>63.046100351650068</v>
      </c>
      <c r="C26" s="7">
        <v>19.192517257140661</v>
      </c>
      <c r="D26" s="7">
        <v>20.25127136796857</v>
      </c>
      <c r="E26" s="7">
        <v>42.539690616029247</v>
      </c>
      <c r="F26" s="7">
        <v>59.601572953778224</v>
      </c>
      <c r="G26" s="7">
        <v>43.635099315743602</v>
      </c>
      <c r="H26" s="7">
        <v>35.841826291451923</v>
      </c>
      <c r="I26" s="7">
        <v>36.726041508096799</v>
      </c>
      <c r="J26" s="7">
        <v>24.636576608132</v>
      </c>
      <c r="K26" s="7">
        <v>39.249469571716567</v>
      </c>
      <c r="L26" s="1"/>
      <c r="M26" s="1"/>
      <c r="N26" s="167" t="s">
        <v>198</v>
      </c>
      <c r="O26" s="167"/>
      <c r="P26" s="167"/>
      <c r="Q26" s="167"/>
      <c r="R26" s="167"/>
      <c r="S26" s="167"/>
      <c r="T26" s="167" t="s">
        <v>199</v>
      </c>
      <c r="U26" s="167"/>
      <c r="V26" s="167"/>
      <c r="W26" s="167"/>
      <c r="X26" s="167"/>
      <c r="Y26" s="167"/>
      <c r="Z26" s="1"/>
      <c r="AA26" s="1"/>
      <c r="AB26" s="1"/>
      <c r="AC26" s="1"/>
      <c r="AD26" s="1"/>
      <c r="AE26" s="1"/>
      <c r="AF26" s="1"/>
      <c r="AG26" s="1"/>
      <c r="AH26" s="1"/>
      <c r="AI26" s="1"/>
      <c r="AJ26" s="1"/>
      <c r="AK26" s="1"/>
      <c r="AL26" s="1"/>
      <c r="AM26" s="1"/>
      <c r="AN26" s="1"/>
      <c r="AO26" s="1"/>
      <c r="AP26" s="1"/>
      <c r="AQ26" s="1"/>
      <c r="AR26" s="1"/>
      <c r="AS26" s="1"/>
      <c r="AT26" s="1"/>
      <c r="AU26" s="1"/>
      <c r="AV26" s="1"/>
    </row>
    <row r="27" spans="1:48" ht="14.4" customHeight="1">
      <c r="A27" s="7" t="s">
        <v>27</v>
      </c>
      <c r="B27" s="7">
        <v>56.25563060487584</v>
      </c>
      <c r="C27" s="7">
        <v>47.269181714208727</v>
      </c>
      <c r="D27" s="7">
        <v>41.756060569571417</v>
      </c>
      <c r="E27" s="7">
        <v>18.251150583793532</v>
      </c>
      <c r="F27" s="7">
        <v>64.057502154464913</v>
      </c>
      <c r="G27" s="7">
        <v>38.175477558405973</v>
      </c>
      <c r="H27" s="7">
        <v>65.027118900643927</v>
      </c>
      <c r="I27" s="7">
        <v>60.437131674288977</v>
      </c>
      <c r="J27" s="7">
        <v>8.095645238140122</v>
      </c>
      <c r="K27" s="7">
        <v>44.172059822850372</v>
      </c>
      <c r="L27" s="1"/>
      <c r="M27" s="1"/>
      <c r="N27" s="167" t="s">
        <v>200</v>
      </c>
      <c r="O27" s="167"/>
      <c r="P27" s="167"/>
      <c r="Q27" s="167"/>
      <c r="R27" s="167"/>
      <c r="S27" s="167"/>
      <c r="T27" s="167" t="s">
        <v>201</v>
      </c>
      <c r="U27" s="167"/>
      <c r="V27" s="167"/>
      <c r="W27" s="167"/>
      <c r="X27" s="167"/>
      <c r="Y27" s="167"/>
      <c r="Z27" s="1"/>
      <c r="AA27" s="1"/>
      <c r="AB27" s="1"/>
      <c r="AC27" s="1"/>
      <c r="AD27" s="1"/>
      <c r="AE27" s="1"/>
      <c r="AF27" s="1"/>
      <c r="AG27" s="1"/>
      <c r="AH27" s="1"/>
      <c r="AI27" s="1"/>
      <c r="AJ27" s="1"/>
      <c r="AK27" s="1"/>
      <c r="AL27" s="1"/>
      <c r="AM27" s="1"/>
      <c r="AN27" s="1"/>
      <c r="AO27" s="1"/>
      <c r="AP27" s="1"/>
      <c r="AQ27" s="1"/>
      <c r="AR27" s="1"/>
      <c r="AS27" s="1"/>
      <c r="AT27" s="1"/>
      <c r="AU27" s="1"/>
      <c r="AV27" s="1"/>
    </row>
    <row r="28" spans="1:48" ht="14.4" customHeight="1">
      <c r="A28" s="7" t="s">
        <v>110</v>
      </c>
      <c r="B28" s="7">
        <v>74.311100760693407</v>
      </c>
      <c r="C28" s="7">
        <v>10.125825478266121</v>
      </c>
      <c r="D28" s="7">
        <v>10.83785452892225</v>
      </c>
      <c r="E28" s="7">
        <v>54.987475801105532</v>
      </c>
      <c r="F28" s="7">
        <v>71.632578117363025</v>
      </c>
      <c r="G28" s="7">
        <v>51.529543399960978</v>
      </c>
      <c r="H28" s="7">
        <v>26.29251482254762</v>
      </c>
      <c r="I28" s="7">
        <v>26.953857515868801</v>
      </c>
      <c r="J28" s="7">
        <v>30.134463412456</v>
      </c>
      <c r="K28" s="7">
        <v>46.983016811161519</v>
      </c>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row>
    <row r="29" spans="1:48" ht="14.4" customHeight="1">
      <c r="A29" s="7" t="s">
        <v>29</v>
      </c>
      <c r="B29" s="7">
        <v>59.602251031391603</v>
      </c>
      <c r="C29" s="7">
        <v>24.861461131301219</v>
      </c>
      <c r="D29" s="7">
        <v>24.250488001642879</v>
      </c>
      <c r="E29" s="7">
        <v>33.8232392011261</v>
      </c>
      <c r="F29" s="7">
        <v>59.737410072097113</v>
      </c>
      <c r="G29" s="7">
        <v>44.755760520263692</v>
      </c>
      <c r="H29" s="7">
        <v>42.639076920044538</v>
      </c>
      <c r="I29" s="7">
        <v>42.945243540653699</v>
      </c>
      <c r="J29" s="7">
        <v>21.890465858456391</v>
      </c>
      <c r="K29" s="7">
        <v>43.992687121519097</v>
      </c>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row>
    <row r="30" spans="1:48" ht="52.8">
      <c r="A30" s="7" t="s">
        <v>30</v>
      </c>
      <c r="B30" s="7">
        <v>68.038508519594501</v>
      </c>
      <c r="C30" s="7">
        <v>13.870760392527529</v>
      </c>
      <c r="D30" s="7">
        <v>16.023458944877259</v>
      </c>
      <c r="E30" s="7">
        <v>50.242796240064727</v>
      </c>
      <c r="F30" s="7">
        <v>72.351300045605399</v>
      </c>
      <c r="G30" s="7">
        <v>47.953009262949223</v>
      </c>
      <c r="H30" s="7">
        <v>26.656060938510549</v>
      </c>
      <c r="I30" s="7">
        <v>31.026910813319251</v>
      </c>
      <c r="J30" s="7">
        <v>30.81921178478887</v>
      </c>
      <c r="K30" s="7">
        <v>51.177857112129097</v>
      </c>
      <c r="L30" s="1"/>
      <c r="M30" s="1"/>
      <c r="N30" s="50" t="s">
        <v>202</v>
      </c>
      <c r="O30" s="50" t="s">
        <v>161</v>
      </c>
      <c r="P30" s="50"/>
      <c r="Q30" s="50" t="s">
        <v>162</v>
      </c>
      <c r="R30" s="50" t="s">
        <v>163</v>
      </c>
      <c r="S30" s="50" t="s">
        <v>141</v>
      </c>
      <c r="T30" s="50" t="s">
        <v>202</v>
      </c>
      <c r="U30" s="50" t="s">
        <v>161</v>
      </c>
      <c r="V30" s="50"/>
      <c r="W30" s="50" t="s">
        <v>162</v>
      </c>
      <c r="X30" s="50" t="s">
        <v>163</v>
      </c>
      <c r="Y30" s="50" t="s">
        <v>141</v>
      </c>
      <c r="Z30" s="1"/>
      <c r="AA30" s="1"/>
      <c r="AB30" s="1"/>
      <c r="AC30" s="1"/>
      <c r="AD30" s="1"/>
      <c r="AE30" s="1"/>
      <c r="AF30" s="1"/>
      <c r="AG30" s="1"/>
      <c r="AH30" s="1"/>
      <c r="AI30" s="1"/>
      <c r="AJ30" s="1"/>
      <c r="AK30" s="1"/>
      <c r="AL30" s="1"/>
      <c r="AM30" s="1"/>
      <c r="AN30" s="1"/>
      <c r="AO30" s="1"/>
      <c r="AP30" s="1"/>
      <c r="AQ30" s="1"/>
      <c r="AR30" s="1"/>
      <c r="AS30" s="1"/>
      <c r="AT30" s="1"/>
      <c r="AU30" s="1"/>
    </row>
    <row r="31" spans="1:48" ht="26.4">
      <c r="A31" s="7" t="s">
        <v>31</v>
      </c>
      <c r="B31" s="7">
        <v>51.305824379387673</v>
      </c>
      <c r="C31" s="7">
        <v>26.669674727602299</v>
      </c>
      <c r="D31" s="7">
        <v>31.069749048201022</v>
      </c>
      <c r="E31" s="7">
        <v>35.635019770233768</v>
      </c>
      <c r="F31" s="7">
        <v>58.908676737936752</v>
      </c>
      <c r="G31" s="7">
        <v>27.909360183965831</v>
      </c>
      <c r="H31" s="7">
        <v>54.139004177167429</v>
      </c>
      <c r="I31" s="7">
        <v>58.001201388255573</v>
      </c>
      <c r="J31" s="7">
        <v>14.582128336282301</v>
      </c>
      <c r="K31" s="7">
        <v>31.940858623155091</v>
      </c>
      <c r="L31" s="1"/>
      <c r="M31" s="1"/>
      <c r="N31" s="50"/>
      <c r="O31" s="50" t="s">
        <v>164</v>
      </c>
      <c r="P31" s="50" t="s">
        <v>165</v>
      </c>
      <c r="Q31" s="50" t="s">
        <v>166</v>
      </c>
      <c r="R31" s="50"/>
      <c r="S31" s="50"/>
      <c r="T31" s="50"/>
      <c r="U31" s="50" t="s">
        <v>164</v>
      </c>
      <c r="V31" s="50" t="s">
        <v>165</v>
      </c>
      <c r="W31" s="50" t="s">
        <v>166</v>
      </c>
      <c r="X31" s="50"/>
      <c r="Y31" s="50"/>
      <c r="Z31" s="1"/>
      <c r="AA31" s="1"/>
      <c r="AB31" s="1"/>
      <c r="AC31" s="1"/>
      <c r="AD31" s="1"/>
      <c r="AE31" s="1"/>
      <c r="AF31" s="1"/>
      <c r="AG31" s="1"/>
      <c r="AH31" s="1"/>
      <c r="AI31" s="1"/>
      <c r="AJ31" s="1"/>
      <c r="AK31" s="1"/>
      <c r="AL31" s="1"/>
      <c r="AM31" s="1"/>
      <c r="AN31" s="1"/>
      <c r="AO31" s="1"/>
      <c r="AP31" s="1"/>
      <c r="AQ31" s="1"/>
      <c r="AR31" s="1"/>
      <c r="AS31" s="1"/>
      <c r="AT31" s="1"/>
      <c r="AU31" s="1"/>
    </row>
    <row r="32" spans="1:48">
      <c r="A32" s="7" t="s">
        <v>111</v>
      </c>
      <c r="B32" s="7">
        <v>41.031244267986409</v>
      </c>
      <c r="C32" s="7">
        <v>18.785661072907889</v>
      </c>
      <c r="D32" s="7">
        <v>22.923251672982229</v>
      </c>
      <c r="E32" s="7">
        <v>31.188429928327341</v>
      </c>
      <c r="F32" s="7">
        <v>60.291785599882452</v>
      </c>
      <c r="G32" s="7">
        <v>27.909360183965831</v>
      </c>
      <c r="H32" s="7">
        <v>45.464519172534807</v>
      </c>
      <c r="I32" s="7">
        <v>53.304135221329346</v>
      </c>
      <c r="J32" s="7">
        <v>12.05681910255073</v>
      </c>
      <c r="K32" s="7">
        <v>32.491567535821588</v>
      </c>
      <c r="L32" s="1"/>
      <c r="M32" s="1"/>
      <c r="N32" s="52" t="s">
        <v>168</v>
      </c>
      <c r="O32" s="8">
        <v>-2.5131147305241015</v>
      </c>
      <c r="P32" s="8">
        <v>4.5849628864048002</v>
      </c>
      <c r="Q32" s="8"/>
      <c r="R32" s="8">
        <v>-0.54812106287183193</v>
      </c>
      <c r="S32" s="8">
        <v>0.58523656654699507</v>
      </c>
      <c r="T32" s="52" t="s">
        <v>168</v>
      </c>
      <c r="U32" s="8">
        <v>0.74066191701996509</v>
      </c>
      <c r="V32" s="8">
        <v>2.477732288734019</v>
      </c>
      <c r="W32" s="8"/>
      <c r="X32" s="8">
        <v>0.29892733786764408</v>
      </c>
      <c r="Y32" s="8">
        <v>0.76582221811199136</v>
      </c>
      <c r="Z32" s="1"/>
      <c r="AA32" s="1"/>
      <c r="AB32" s="1"/>
      <c r="AC32" s="1"/>
      <c r="AD32" s="1"/>
      <c r="AE32" s="1"/>
      <c r="AF32" s="1"/>
      <c r="AG32" s="1"/>
      <c r="AH32" s="1"/>
      <c r="AI32" s="1"/>
      <c r="AJ32" s="1"/>
      <c r="AK32" s="1"/>
      <c r="AL32" s="1"/>
      <c r="AM32" s="1"/>
      <c r="AN32" s="1"/>
      <c r="AO32" s="1"/>
      <c r="AP32" s="1"/>
      <c r="AQ32" s="1"/>
      <c r="AR32" s="1"/>
      <c r="AS32" s="1"/>
      <c r="AT32" s="1"/>
      <c r="AU32" s="1"/>
    </row>
    <row r="33" spans="1:48">
      <c r="A33" s="7" t="s">
        <v>33</v>
      </c>
      <c r="B33" s="7">
        <v>58.729718656387</v>
      </c>
      <c r="C33" s="7">
        <v>25.966103285570309</v>
      </c>
      <c r="D33" s="7">
        <v>25.46217382840571</v>
      </c>
      <c r="E33" s="7">
        <v>39.537740136152387</v>
      </c>
      <c r="F33" s="7">
        <v>60.866638054078649</v>
      </c>
      <c r="G33" s="7">
        <v>30.709317174647641</v>
      </c>
      <c r="H33" s="7">
        <v>55.003874928498611</v>
      </c>
      <c r="I33" s="7">
        <v>52.11276292412601</v>
      </c>
      <c r="J33" s="7">
        <v>16.60738805694837</v>
      </c>
      <c r="K33" s="7">
        <v>33.207794861728303</v>
      </c>
      <c r="L33" s="1"/>
      <c r="M33" s="1"/>
      <c r="N33" s="54" t="s">
        <v>185</v>
      </c>
      <c r="O33" s="8">
        <v>0.61752106474683599</v>
      </c>
      <c r="P33" s="8">
        <v>8.1896921444882156E-2</v>
      </c>
      <c r="Q33" s="8">
        <v>0.65665303425859023</v>
      </c>
      <c r="R33" s="8">
        <v>7.5402231714221006</v>
      </c>
      <c r="S33" s="8">
        <v>8.905358448373665E-11</v>
      </c>
      <c r="T33" s="54" t="s">
        <v>188</v>
      </c>
      <c r="U33" s="8">
        <v>0.40992152540005683</v>
      </c>
      <c r="V33" s="8">
        <v>6.3764511436050941E-2</v>
      </c>
      <c r="W33" s="8">
        <v>0.59604594397810062</v>
      </c>
      <c r="X33" s="8">
        <v>6.4286782125064148</v>
      </c>
      <c r="Y33" s="8">
        <v>1.0705981572496459E-8</v>
      </c>
      <c r="Z33" s="1"/>
      <c r="AA33" s="1"/>
      <c r="AB33" s="1"/>
      <c r="AC33" s="1"/>
      <c r="AD33" s="1"/>
      <c r="AE33" s="1"/>
      <c r="AF33" s="1"/>
      <c r="AG33" s="1"/>
      <c r="AH33" s="1"/>
      <c r="AI33" s="1"/>
      <c r="AJ33" s="1"/>
      <c r="AK33" s="1"/>
      <c r="AL33" s="1"/>
      <c r="AM33" s="1"/>
      <c r="AN33" s="1"/>
      <c r="AO33" s="1"/>
      <c r="AP33" s="1"/>
      <c r="AQ33" s="1"/>
      <c r="AR33" s="1"/>
      <c r="AS33" s="1"/>
      <c r="AT33" s="1"/>
      <c r="AU33" s="1"/>
    </row>
    <row r="34" spans="1:48" ht="14.4" customHeight="1">
      <c r="A34" s="7" t="s">
        <v>34</v>
      </c>
      <c r="B34" s="7">
        <v>67.364396522696737</v>
      </c>
      <c r="C34" s="7">
        <v>16.069107845406862</v>
      </c>
      <c r="D34" s="7">
        <v>22.99020738267075</v>
      </c>
      <c r="E34" s="7">
        <v>48.553007994906991</v>
      </c>
      <c r="F34" s="7">
        <v>65.312017670255301</v>
      </c>
      <c r="G34" s="7">
        <v>45.800050103971621</v>
      </c>
      <c r="H34" s="7">
        <v>35.997867156759369</v>
      </c>
      <c r="I34" s="7">
        <v>44.55597143449711</v>
      </c>
      <c r="J34" s="7">
        <v>24.381031784718889</v>
      </c>
      <c r="K34" s="7">
        <v>40.304888474037739</v>
      </c>
      <c r="L34" s="1"/>
      <c r="M34" s="1"/>
      <c r="N34" s="167" t="s">
        <v>198</v>
      </c>
      <c r="O34" s="167"/>
      <c r="P34" s="167"/>
      <c r="Q34" s="167"/>
      <c r="R34" s="167"/>
      <c r="S34" s="167"/>
      <c r="T34" s="167" t="s">
        <v>199</v>
      </c>
      <c r="U34" s="167"/>
      <c r="V34" s="167"/>
      <c r="W34" s="167"/>
      <c r="X34" s="167"/>
      <c r="Y34" s="167"/>
      <c r="Z34" s="1"/>
      <c r="AA34" s="1"/>
      <c r="AB34" s="1"/>
      <c r="AC34" s="1"/>
      <c r="AD34" s="1"/>
      <c r="AE34" s="1"/>
      <c r="AF34" s="1"/>
      <c r="AG34" s="1"/>
      <c r="AH34" s="1"/>
      <c r="AI34" s="1"/>
      <c r="AJ34" s="1"/>
      <c r="AK34" s="1"/>
      <c r="AL34" s="1"/>
      <c r="AM34" s="1"/>
      <c r="AN34" s="1"/>
      <c r="AO34" s="1"/>
      <c r="AP34" s="1"/>
      <c r="AQ34" s="1"/>
      <c r="AR34" s="1"/>
      <c r="AS34" s="1"/>
      <c r="AT34" s="1"/>
      <c r="AU34" s="1"/>
      <c r="AV34" s="1"/>
    </row>
    <row r="35" spans="1:48" ht="14.4" customHeight="1">
      <c r="A35" s="7" t="s">
        <v>35</v>
      </c>
      <c r="B35" s="7">
        <v>53.810073709569807</v>
      </c>
      <c r="C35" s="7">
        <v>23.39102283105446</v>
      </c>
      <c r="D35" s="7">
        <v>29.203574689205791</v>
      </c>
      <c r="E35" s="7">
        <v>30.43451162541049</v>
      </c>
      <c r="F35" s="7">
        <v>57.060252648927047</v>
      </c>
      <c r="G35" s="7">
        <v>31.972884851230891</v>
      </c>
      <c r="H35" s="7">
        <v>48.401797241793354</v>
      </c>
      <c r="I35" s="7">
        <v>53.506393531035648</v>
      </c>
      <c r="J35" s="7">
        <v>14.42757207840614</v>
      </c>
      <c r="K35" s="7">
        <v>33.325285547387459</v>
      </c>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row>
    <row r="36" spans="1:48">
      <c r="A36" s="7" t="s">
        <v>36</v>
      </c>
      <c r="B36" s="7">
        <v>65.292276380081603</v>
      </c>
      <c r="C36" s="7">
        <v>18.870891634230599</v>
      </c>
      <c r="D36" s="7">
        <v>27.221768035055369</v>
      </c>
      <c r="E36" s="7">
        <v>44.240877882564298</v>
      </c>
      <c r="F36" s="7">
        <v>64.925583942900673</v>
      </c>
      <c r="G36" s="7">
        <v>48.741196818891133</v>
      </c>
      <c r="H36" s="7">
        <v>29.923624193232349</v>
      </c>
      <c r="I36" s="7">
        <v>37.035912174101242</v>
      </c>
      <c r="J36" s="7">
        <v>31.380693096286429</v>
      </c>
      <c r="K36" s="7">
        <v>49.3779880392308</v>
      </c>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row>
    <row r="37" spans="1:48">
      <c r="A37" s="7" t="s">
        <v>37</v>
      </c>
      <c r="B37" s="7">
        <v>62.062012297110648</v>
      </c>
      <c r="C37" s="7">
        <v>16.385633636927889</v>
      </c>
      <c r="D37" s="7">
        <v>18.035440111558131</v>
      </c>
      <c r="E37" s="7">
        <v>43.711950414611437</v>
      </c>
      <c r="F37" s="7">
        <v>62.561494422462829</v>
      </c>
      <c r="G37" s="7">
        <v>43.796699090650662</v>
      </c>
      <c r="H37" s="7">
        <v>36.223212269451743</v>
      </c>
      <c r="I37" s="7">
        <v>36.209066898254349</v>
      </c>
      <c r="J37" s="7">
        <v>26.516347148913582</v>
      </c>
      <c r="K37" s="7">
        <v>41.496802132134022</v>
      </c>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row>
    <row r="38" spans="1:48">
      <c r="A38" s="7" t="s">
        <v>38</v>
      </c>
      <c r="B38" s="7">
        <v>32.965977601195199</v>
      </c>
      <c r="C38" s="7">
        <v>50.59790888393362</v>
      </c>
      <c r="D38" s="7">
        <v>49.634639131760423</v>
      </c>
      <c r="E38" s="7">
        <v>17.816397776843178</v>
      </c>
      <c r="F38" s="7">
        <v>47.505899555531798</v>
      </c>
      <c r="G38" s="7">
        <v>14.983596006684101</v>
      </c>
      <c r="H38" s="7">
        <v>78.004020085595798</v>
      </c>
      <c r="I38" s="7">
        <v>76.585349047125263</v>
      </c>
      <c r="J38" s="7">
        <v>6.6432959143162371</v>
      </c>
      <c r="K38" s="7">
        <v>19.616548124580081</v>
      </c>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row>
    <row r="39" spans="1:48">
      <c r="A39" s="7" t="s">
        <v>39</v>
      </c>
      <c r="B39" s="7">
        <v>62.288711343603538</v>
      </c>
      <c r="C39" s="7">
        <v>18.472135644829098</v>
      </c>
      <c r="D39" s="7">
        <v>21.128580636038588</v>
      </c>
      <c r="E39" s="7">
        <v>36.85385978397013</v>
      </c>
      <c r="F39" s="7">
        <v>66.009564711078653</v>
      </c>
      <c r="G39" s="7">
        <v>46.777582710226127</v>
      </c>
      <c r="H39" s="7">
        <v>35.698676905056487</v>
      </c>
      <c r="I39" s="7">
        <v>39.1309854467317</v>
      </c>
      <c r="J39" s="7">
        <v>25.204249637996291</v>
      </c>
      <c r="K39" s="7">
        <v>48.241007342824098</v>
      </c>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row>
    <row r="40" spans="1:48">
      <c r="A40" s="7" t="s">
        <v>112</v>
      </c>
      <c r="B40" s="7">
        <v>62.313956929372161</v>
      </c>
      <c r="C40" s="7">
        <v>25.276245079614888</v>
      </c>
      <c r="D40" s="7">
        <v>32.295320231305922</v>
      </c>
      <c r="E40" s="7">
        <v>35.572574747319592</v>
      </c>
      <c r="F40" s="7">
        <v>61.516231981813149</v>
      </c>
      <c r="G40" s="7">
        <v>47.343869063234372</v>
      </c>
      <c r="H40" s="7">
        <v>40.945455665824532</v>
      </c>
      <c r="I40" s="7">
        <v>48.02040617061153</v>
      </c>
      <c r="J40" s="7">
        <v>20.159605097500972</v>
      </c>
      <c r="K40" s="7">
        <v>45.231418463242257</v>
      </c>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row>
    <row r="41" spans="1:48">
      <c r="A41" s="7" t="s">
        <v>41</v>
      </c>
      <c r="B41" s="7">
        <v>51.233431293908907</v>
      </c>
      <c r="C41" s="7">
        <v>67.166643777348284</v>
      </c>
      <c r="D41" s="7">
        <v>67.188639365428386</v>
      </c>
      <c r="E41" s="7">
        <v>20.362096486158372</v>
      </c>
      <c r="F41" s="7">
        <v>58.836307370132623</v>
      </c>
      <c r="G41" s="7">
        <v>26.232225760788541</v>
      </c>
      <c r="H41" s="7">
        <v>86.627557268366914</v>
      </c>
      <c r="I41" s="7">
        <v>85.713875498084931</v>
      </c>
      <c r="J41" s="7">
        <v>6.618979227809735</v>
      </c>
      <c r="K41" s="7">
        <v>31.384956797910359</v>
      </c>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row>
    <row r="42" spans="1:48">
      <c r="A42" s="7" t="s">
        <v>42</v>
      </c>
      <c r="B42" s="7">
        <v>68.643055273906</v>
      </c>
      <c r="C42" s="7">
        <v>31.36309149408704</v>
      </c>
      <c r="D42" s="7">
        <v>30.019471773522749</v>
      </c>
      <c r="E42" s="7">
        <v>26.686419595159951</v>
      </c>
      <c r="F42" s="7">
        <v>71.870667369389452</v>
      </c>
      <c r="G42" s="7">
        <v>55.282544342073102</v>
      </c>
      <c r="H42" s="7">
        <v>48.192480554906673</v>
      </c>
      <c r="I42" s="7">
        <v>45.062605131158357</v>
      </c>
      <c r="J42" s="7">
        <v>15.213869246798991</v>
      </c>
      <c r="K42" s="7">
        <v>56.927409259107478</v>
      </c>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row>
    <row r="43" spans="1:48">
      <c r="A43" s="7" t="s">
        <v>43</v>
      </c>
      <c r="B43" s="7">
        <v>59.252132463060363</v>
      </c>
      <c r="C43" s="7">
        <v>61.490752827592082</v>
      </c>
      <c r="D43" s="7">
        <v>55.432424348006712</v>
      </c>
      <c r="E43" s="7">
        <v>27.4517242807669</v>
      </c>
      <c r="F43" s="7">
        <v>61.967285665322521</v>
      </c>
      <c r="G43" s="7">
        <v>46.158208887292652</v>
      </c>
      <c r="H43" s="7">
        <v>76.084766547718715</v>
      </c>
      <c r="I43" s="7">
        <v>70.933173955654809</v>
      </c>
      <c r="J43" s="7">
        <v>12.331633148176129</v>
      </c>
      <c r="K43" s="7">
        <v>43.587845678367401</v>
      </c>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row>
    <row r="44" spans="1:48">
      <c r="A44" s="7" t="s">
        <v>44</v>
      </c>
      <c r="B44" s="7">
        <v>58.062607933232627</v>
      </c>
      <c r="C44" s="7">
        <v>35.777220478809411</v>
      </c>
      <c r="D44" s="7">
        <v>42.36107725646233</v>
      </c>
      <c r="E44" s="7">
        <v>19.806996175681039</v>
      </c>
      <c r="F44" s="7">
        <v>67.445685251157926</v>
      </c>
      <c r="G44" s="7">
        <v>32.848600531129492</v>
      </c>
      <c r="H44" s="7">
        <v>58.97768553843347</v>
      </c>
      <c r="I44" s="7">
        <v>68.999083747226592</v>
      </c>
      <c r="J44" s="7">
        <v>7.5037323382214396</v>
      </c>
      <c r="K44" s="7">
        <v>41.54237164489377</v>
      </c>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row>
    <row r="45" spans="1:48">
      <c r="A45" s="7" t="s">
        <v>45</v>
      </c>
      <c r="B45" s="7">
        <v>62.639235234080139</v>
      </c>
      <c r="C45" s="7">
        <v>23.068112421559501</v>
      </c>
      <c r="D45" s="7">
        <v>29.128711932856032</v>
      </c>
      <c r="E45" s="7">
        <v>37.671725479894143</v>
      </c>
      <c r="F45" s="7">
        <v>66.968097753515764</v>
      </c>
      <c r="G45" s="7">
        <v>40.85931492173362</v>
      </c>
      <c r="H45" s="7">
        <v>45.84007582247439</v>
      </c>
      <c r="I45" s="7">
        <v>53.588822342258283</v>
      </c>
      <c r="J45" s="7">
        <v>20.193489345330839</v>
      </c>
      <c r="K45" s="7">
        <v>45.486035874685022</v>
      </c>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row>
    <row r="46" spans="1:48">
      <c r="A46" s="7" t="s">
        <v>46</v>
      </c>
      <c r="B46" s="7">
        <v>29.48913008654554</v>
      </c>
      <c r="C46" s="7">
        <v>36.5579858604628</v>
      </c>
      <c r="D46" s="7">
        <v>38.217386201678437</v>
      </c>
      <c r="E46" s="7">
        <v>13.902531823231991</v>
      </c>
      <c r="F46" s="7">
        <v>62.277464803778848</v>
      </c>
      <c r="G46" s="7">
        <v>19.37607681370115</v>
      </c>
      <c r="H46" s="7">
        <v>56.851788326533701</v>
      </c>
      <c r="I46" s="7">
        <v>58.000314028841373</v>
      </c>
      <c r="J46" s="7">
        <v>6.6577916585878194</v>
      </c>
      <c r="K46" s="7">
        <v>41.601494564486238</v>
      </c>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row>
    <row r="47" spans="1:48">
      <c r="A47" s="7" t="s">
        <v>47</v>
      </c>
      <c r="B47" s="7">
        <v>68.341897962940266</v>
      </c>
      <c r="C47" s="7">
        <v>43.252469590232486</v>
      </c>
      <c r="D47" s="7">
        <v>33.563288167316827</v>
      </c>
      <c r="E47" s="7">
        <v>18.614468912843279</v>
      </c>
      <c r="F47" s="7">
        <v>76.287315377130383</v>
      </c>
      <c r="G47" s="7">
        <v>49.829079241603701</v>
      </c>
      <c r="H47" s="7">
        <v>70.368968528749704</v>
      </c>
      <c r="I47" s="7">
        <v>58.788267336861978</v>
      </c>
      <c r="J47" s="7">
        <v>7.0360634683569216</v>
      </c>
      <c r="K47" s="7">
        <v>53.566814080859459</v>
      </c>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row>
    <row r="48" spans="1:48">
      <c r="A48" s="7" t="s">
        <v>48</v>
      </c>
      <c r="B48" s="7">
        <v>15.6840637941691</v>
      </c>
      <c r="C48" s="7">
        <v>79.511116592168719</v>
      </c>
      <c r="D48" s="7">
        <v>71.838465834409575</v>
      </c>
      <c r="E48" s="7">
        <v>7.6206890142184038</v>
      </c>
      <c r="F48" s="7">
        <v>33.965913752899382</v>
      </c>
      <c r="G48" s="7">
        <v>7.762891404968669</v>
      </c>
      <c r="H48" s="7">
        <v>87.099972235268197</v>
      </c>
      <c r="I48" s="7">
        <v>79.934205723106828</v>
      </c>
      <c r="J48" s="7">
        <v>2.7627674077669742</v>
      </c>
      <c r="K48" s="7">
        <v>20.159774238709609</v>
      </c>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row>
    <row r="49" spans="1:48">
      <c r="A49" s="7" t="s">
        <v>49</v>
      </c>
      <c r="B49" s="7">
        <v>55.038765779408308</v>
      </c>
      <c r="C49" s="7">
        <v>36.521432337156931</v>
      </c>
      <c r="D49" s="7">
        <v>37.73552451795733</v>
      </c>
      <c r="E49" s="7">
        <v>32.763316296712922</v>
      </c>
      <c r="F49" s="7">
        <v>64.65952446231627</v>
      </c>
      <c r="G49" s="7">
        <v>37.48374895381675</v>
      </c>
      <c r="H49" s="7">
        <v>60.628874697340557</v>
      </c>
      <c r="I49" s="7">
        <v>58.15131009100967</v>
      </c>
      <c r="J49" s="7">
        <v>14.68027678380188</v>
      </c>
      <c r="K49" s="7">
        <v>42.955702802329832</v>
      </c>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row>
    <row r="50" spans="1:48">
      <c r="A50" s="7" t="s">
        <v>50</v>
      </c>
      <c r="B50" s="7">
        <v>66.475504899160143</v>
      </c>
      <c r="C50" s="7">
        <v>30.60786038785594</v>
      </c>
      <c r="D50" s="7">
        <v>28.431550579672869</v>
      </c>
      <c r="E50" s="7">
        <v>24.938645042151322</v>
      </c>
      <c r="F50" s="7">
        <v>67.315737429176053</v>
      </c>
      <c r="G50" s="7">
        <v>48.61175423676935</v>
      </c>
      <c r="H50" s="7">
        <v>52.896993515289502</v>
      </c>
      <c r="I50" s="7">
        <v>49.098588466945763</v>
      </c>
      <c r="J50" s="7">
        <v>12.444114798178379</v>
      </c>
      <c r="K50" s="7">
        <v>44.409440036036997</v>
      </c>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row>
    <row r="51" spans="1:48">
      <c r="A51" s="7" t="s">
        <v>51</v>
      </c>
      <c r="B51" s="7">
        <v>66.713569242166315</v>
      </c>
      <c r="C51" s="7">
        <v>13.59634327845527</v>
      </c>
      <c r="D51" s="7">
        <v>19.02533654212511</v>
      </c>
      <c r="E51" s="7">
        <v>49.600468104591492</v>
      </c>
      <c r="F51" s="7">
        <v>68.66622056168616</v>
      </c>
      <c r="G51" s="7">
        <v>48.173870352995372</v>
      </c>
      <c r="H51" s="7">
        <v>31.22379879950622</v>
      </c>
      <c r="I51" s="7">
        <v>38.870387455483723</v>
      </c>
      <c r="J51" s="7">
        <v>27.428082950554622</v>
      </c>
      <c r="K51" s="7">
        <v>48.520747696932169</v>
      </c>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row>
    <row r="52" spans="1:48">
      <c r="A52" s="7" t="s">
        <v>52</v>
      </c>
      <c r="B52" s="7">
        <v>62.329452940227483</v>
      </c>
      <c r="C52" s="7">
        <v>19.39662535785504</v>
      </c>
      <c r="D52" s="7">
        <v>26.285056161981949</v>
      </c>
      <c r="E52" s="7">
        <v>39.912281744068032</v>
      </c>
      <c r="F52" s="7">
        <v>63.36087116174545</v>
      </c>
      <c r="G52" s="7">
        <v>46.091499527228642</v>
      </c>
      <c r="H52" s="7">
        <v>27.18566954028644</v>
      </c>
      <c r="I52" s="7">
        <v>43.793236953744731</v>
      </c>
      <c r="J52" s="7">
        <v>21.542940599604361</v>
      </c>
      <c r="K52" s="7">
        <v>46.905979246117333</v>
      </c>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row>
    <row r="53" spans="1:48">
      <c r="A53" s="7" t="s">
        <v>53</v>
      </c>
      <c r="B53" s="7">
        <v>56.367462882969768</v>
      </c>
      <c r="C53" s="7">
        <v>54.482630382705381</v>
      </c>
      <c r="D53" s="7">
        <v>50.589767824735588</v>
      </c>
      <c r="E53" s="7">
        <v>20.489728625488851</v>
      </c>
      <c r="F53" s="7">
        <v>63.507190646956467</v>
      </c>
      <c r="G53" s="7">
        <v>41.857736108621793</v>
      </c>
      <c r="H53" s="7">
        <v>68.692679851850102</v>
      </c>
      <c r="I53" s="7">
        <v>66.04881766967226</v>
      </c>
      <c r="J53" s="7">
        <v>10.392956476351561</v>
      </c>
      <c r="K53" s="7">
        <v>46.153552075975497</v>
      </c>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row>
    <row r="54" spans="1:48">
      <c r="A54" s="7" t="s">
        <v>54</v>
      </c>
      <c r="B54" s="7">
        <v>48.007998359608258</v>
      </c>
      <c r="C54" s="7">
        <v>46.355995339312813</v>
      </c>
      <c r="D54" s="7">
        <v>52.116936593054767</v>
      </c>
      <c r="E54" s="7">
        <v>25.739241765699909</v>
      </c>
      <c r="F54" s="7">
        <v>67.788903303687945</v>
      </c>
      <c r="G54" s="7">
        <v>28.066611110745011</v>
      </c>
      <c r="H54" s="7">
        <v>75.453190328258302</v>
      </c>
      <c r="I54" s="7">
        <v>76.173393780842574</v>
      </c>
      <c r="J54" s="7">
        <v>9.212547268905503</v>
      </c>
      <c r="K54" s="7">
        <v>47.708633635205793</v>
      </c>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row>
    <row r="55" spans="1:48">
      <c r="A55" s="7" t="s">
        <v>128</v>
      </c>
      <c r="B55" s="7">
        <v>53.043721630444253</v>
      </c>
      <c r="C55" s="7">
        <v>54.121553849600801</v>
      </c>
      <c r="D55" s="7">
        <v>45.900160200709891</v>
      </c>
      <c r="E55" s="7">
        <v>29.04799457806736</v>
      </c>
      <c r="F55" s="7">
        <v>53.944134613146574</v>
      </c>
      <c r="G55" s="7">
        <v>38.789708063919313</v>
      </c>
      <c r="H55" s="7">
        <v>64.748442316663528</v>
      </c>
      <c r="I55" s="7">
        <v>51.499585733917172</v>
      </c>
      <c r="J55" s="7">
        <v>12.96315184600191</v>
      </c>
      <c r="K55" s="7">
        <v>39.015015869637352</v>
      </c>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row>
    <row r="56" spans="1:48">
      <c r="A56" s="7" t="s">
        <v>56</v>
      </c>
      <c r="B56" s="7">
        <v>35.972307607028377</v>
      </c>
      <c r="C56" s="7">
        <v>69.855961120543924</v>
      </c>
      <c r="D56" s="7">
        <v>67.31154117290086</v>
      </c>
      <c r="E56" s="7">
        <v>19.685421984715379</v>
      </c>
      <c r="F56" s="7">
        <v>61.815003713503401</v>
      </c>
      <c r="G56" s="7">
        <v>27.689351509913131</v>
      </c>
      <c r="H56" s="7">
        <v>77.449833779925129</v>
      </c>
      <c r="I56" s="7">
        <v>72.051034652820434</v>
      </c>
      <c r="J56" s="7">
        <v>8.9423255892714781</v>
      </c>
      <c r="K56" s="7">
        <v>49.60439429198086</v>
      </c>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row>
    <row r="57" spans="1:48">
      <c r="A57" s="7" t="s">
        <v>57</v>
      </c>
      <c r="B57" s="7">
        <v>29.9052567980955</v>
      </c>
      <c r="C57" s="7">
        <v>59.780714416344061</v>
      </c>
      <c r="D57" s="7">
        <v>54.568441483062571</v>
      </c>
      <c r="E57" s="7">
        <v>32.469796480474123</v>
      </c>
      <c r="F57" s="7">
        <v>62.849236753917047</v>
      </c>
      <c r="G57" s="7">
        <v>22.5522434125294</v>
      </c>
      <c r="H57" s="7">
        <v>72.451852625367778</v>
      </c>
      <c r="I57" s="7">
        <v>62.648367700521348</v>
      </c>
      <c r="J57" s="7">
        <v>15.532111559992821</v>
      </c>
      <c r="K57" s="7">
        <v>50.465229291746937</v>
      </c>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row>
    <row r="58" spans="1:48">
      <c r="A58" s="7" t="s">
        <v>58</v>
      </c>
      <c r="B58" s="7">
        <v>23.430169508323331</v>
      </c>
      <c r="C58" s="7">
        <v>67.892034015083041</v>
      </c>
      <c r="D58" s="7">
        <v>54.094762548900853</v>
      </c>
      <c r="E58" s="7">
        <v>15.30703560557016</v>
      </c>
      <c r="F58" s="7">
        <v>61.29892257102567</v>
      </c>
      <c r="G58" s="7">
        <v>13.434322865817361</v>
      </c>
      <c r="H58" s="7">
        <v>81.257533182542787</v>
      </c>
      <c r="I58" s="7">
        <v>69.96478763710229</v>
      </c>
      <c r="J58" s="7">
        <v>7.5861598871686002</v>
      </c>
      <c r="K58" s="7">
        <v>47.573409118062912</v>
      </c>
      <c r="L58" s="1"/>
      <c r="M58" s="1"/>
      <c r="N58" s="1"/>
      <c r="O58" s="1"/>
      <c r="P58" s="1"/>
      <c r="Q58" s="1"/>
      <c r="R58" s="1"/>
      <c r="S58" s="1"/>
      <c r="T58" s="1" t="s">
        <v>48</v>
      </c>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row>
    <row r="59" spans="1:48">
      <c r="A59" s="7" t="s">
        <v>59</v>
      </c>
      <c r="B59" s="7">
        <v>50.930065767476783</v>
      </c>
      <c r="C59" s="7">
        <v>65.246430877282975</v>
      </c>
      <c r="D59" s="7">
        <v>63.627860964138719</v>
      </c>
      <c r="E59" s="7">
        <v>19.180044258366351</v>
      </c>
      <c r="F59" s="7">
        <v>58.220258916053979</v>
      </c>
      <c r="G59" s="7">
        <v>33.139585973305238</v>
      </c>
      <c r="H59" s="7">
        <v>84.090105799926263</v>
      </c>
      <c r="I59" s="7">
        <v>82.386891489792532</v>
      </c>
      <c r="J59" s="7">
        <v>6.0099647964034437</v>
      </c>
      <c r="K59" s="7">
        <v>31.76250062093391</v>
      </c>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row>
    <row r="60" spans="1:48">
      <c r="A60" s="7" t="s">
        <v>61</v>
      </c>
      <c r="B60" s="7">
        <v>52.739106275511382</v>
      </c>
      <c r="C60" s="7">
        <v>51.584858893566917</v>
      </c>
      <c r="D60" s="7">
        <v>42.078450014941417</v>
      </c>
      <c r="E60" s="7">
        <v>23.552001683139132</v>
      </c>
      <c r="F60" s="7">
        <v>57.934244561497067</v>
      </c>
      <c r="G60" s="7">
        <v>40.460149523804262</v>
      </c>
      <c r="H60" s="7">
        <v>62.103391674793031</v>
      </c>
      <c r="I60" s="7">
        <v>49.877836262234368</v>
      </c>
      <c r="J60" s="7">
        <v>13.121530396673389</v>
      </c>
      <c r="K60" s="7">
        <v>42.640294977538247</v>
      </c>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row>
    <row r="61" spans="1:48">
      <c r="A61" s="7" t="s">
        <v>62</v>
      </c>
      <c r="B61" s="7">
        <v>39.46181800220986</v>
      </c>
      <c r="C61" s="7">
        <v>52.086376255006293</v>
      </c>
      <c r="D61" s="7">
        <v>44.720733318333231</v>
      </c>
      <c r="E61" s="7">
        <v>13.37302868741412</v>
      </c>
      <c r="F61" s="7">
        <v>76.555042076739895</v>
      </c>
      <c r="G61" s="7">
        <v>24.549420734940629</v>
      </c>
      <c r="H61" s="7">
        <v>72.490788983310637</v>
      </c>
      <c r="I61" s="7">
        <v>60.053243006771361</v>
      </c>
      <c r="J61" s="7">
        <v>6.5058480892196027</v>
      </c>
      <c r="K61" s="7">
        <v>58.003395522479053</v>
      </c>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row>
    <row r="62" spans="1:48">
      <c r="A62" s="7" t="s">
        <v>63</v>
      </c>
      <c r="B62" s="7">
        <v>55.15897036097347</v>
      </c>
      <c r="C62" s="7">
        <v>30.00808876530537</v>
      </c>
      <c r="D62" s="7">
        <v>32.199145394602617</v>
      </c>
      <c r="E62" s="7">
        <v>36.981975234364569</v>
      </c>
      <c r="F62" s="7">
        <v>60.248234385096048</v>
      </c>
      <c r="G62" s="7">
        <v>36.134030618802313</v>
      </c>
      <c r="H62" s="7">
        <v>47.528789787735967</v>
      </c>
      <c r="I62" s="7">
        <v>44.255843727351682</v>
      </c>
      <c r="J62" s="7">
        <v>15.94025336953348</v>
      </c>
      <c r="K62" s="7">
        <v>38.303241635078422</v>
      </c>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row>
    <row r="63" spans="1:48">
      <c r="A63" s="7" t="s">
        <v>64</v>
      </c>
      <c r="B63" s="7">
        <v>54.149996502552092</v>
      </c>
      <c r="C63" s="7">
        <v>31.820941935840992</v>
      </c>
      <c r="D63" s="7">
        <v>36.403244894207234</v>
      </c>
      <c r="E63" s="7">
        <v>30.95798327669328</v>
      </c>
      <c r="F63" s="7">
        <v>73.330609956926551</v>
      </c>
      <c r="G63" s="7">
        <v>26.59529419751718</v>
      </c>
      <c r="H63" s="7">
        <v>62.529111652553091</v>
      </c>
      <c r="I63" s="7">
        <v>65.593974400920985</v>
      </c>
      <c r="J63" s="7">
        <v>11.147966303254931</v>
      </c>
      <c r="K63" s="7">
        <v>44.783871946410628</v>
      </c>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row>
    <row r="64" spans="1:48">
      <c r="A64" s="7" t="s">
        <v>65</v>
      </c>
      <c r="B64" s="7">
        <v>52.657198848588322</v>
      </c>
      <c r="C64" s="7">
        <v>28.865625640030899</v>
      </c>
      <c r="D64" s="7">
        <v>35.375501233387787</v>
      </c>
      <c r="E64" s="7">
        <v>29.855750984927042</v>
      </c>
      <c r="F64" s="7">
        <v>60.818835609834913</v>
      </c>
      <c r="G64" s="7">
        <v>32.791662036241178</v>
      </c>
      <c r="H64" s="7">
        <v>50.829426367543661</v>
      </c>
      <c r="I64" s="7">
        <v>59.496739264772877</v>
      </c>
      <c r="J64" s="7">
        <v>13.04785902777013</v>
      </c>
      <c r="K64" s="7">
        <v>38.359425844636128</v>
      </c>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row>
    <row r="65" spans="1:48">
      <c r="A65" s="7" t="s">
        <v>66</v>
      </c>
      <c r="B65" s="7">
        <v>36.791784637151807</v>
      </c>
      <c r="C65" s="7">
        <v>54.216413308746993</v>
      </c>
      <c r="D65" s="7">
        <v>52.138730156158267</v>
      </c>
      <c r="E65" s="7">
        <v>17.874511231615561</v>
      </c>
      <c r="F65" s="7">
        <v>62.526107872587488</v>
      </c>
      <c r="G65" s="7">
        <v>23.531381911877759</v>
      </c>
      <c r="H65" s="7">
        <v>68.211525100255614</v>
      </c>
      <c r="I65" s="7">
        <v>61.375878860505672</v>
      </c>
      <c r="J65" s="7">
        <v>8.0582652000991999</v>
      </c>
      <c r="K65" s="7">
        <v>47.557620914004993</v>
      </c>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row>
    <row r="66" spans="1:48">
      <c r="A66" s="7" t="s">
        <v>68</v>
      </c>
      <c r="B66" s="7">
        <v>58.732996181665428</v>
      </c>
      <c r="C66" s="7">
        <v>49.355416887056577</v>
      </c>
      <c r="D66" s="7">
        <v>43.991700104673477</v>
      </c>
      <c r="E66" s="7">
        <v>19.59389530502013</v>
      </c>
      <c r="F66" s="7">
        <v>65.091455940041129</v>
      </c>
      <c r="G66" s="7">
        <v>47.676670107872617</v>
      </c>
      <c r="H66" s="7">
        <v>64.86827777700708</v>
      </c>
      <c r="I66" s="7">
        <v>58.296967735576203</v>
      </c>
      <c r="J66" s="7">
        <v>11.233787851177469</v>
      </c>
      <c r="K66" s="7">
        <v>47.895084748127474</v>
      </c>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row>
    <row r="67" spans="1:48">
      <c r="A67" s="7" t="s">
        <v>69</v>
      </c>
      <c r="B67" s="7">
        <v>52.158941205153027</v>
      </c>
      <c r="C67" s="7">
        <v>55.498895021182634</v>
      </c>
      <c r="D67" s="7">
        <v>53.421819019304323</v>
      </c>
      <c r="E67" s="7">
        <v>11.734346826548171</v>
      </c>
      <c r="F67" s="7">
        <v>55.054444799216363</v>
      </c>
      <c r="G67" s="7">
        <v>36.733040101785498</v>
      </c>
      <c r="H67" s="7">
        <v>70.802291529742817</v>
      </c>
      <c r="I67" s="7">
        <v>67.126105122231024</v>
      </c>
      <c r="J67" s="7">
        <v>5.451047482607092</v>
      </c>
      <c r="K67" s="7">
        <v>37.92518340041299</v>
      </c>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row>
    <row r="68" spans="1:48">
      <c r="A68" s="7" t="s">
        <v>70</v>
      </c>
      <c r="B68" s="7">
        <v>69.287901754055923</v>
      </c>
      <c r="C68" s="7">
        <v>63.918337385588003</v>
      </c>
      <c r="D68" s="7">
        <v>60.089846675700429</v>
      </c>
      <c r="E68" s="7">
        <v>31.952027202214591</v>
      </c>
      <c r="F68" s="7">
        <v>72.276454247189733</v>
      </c>
      <c r="G68" s="7">
        <v>57.561265213549603</v>
      </c>
      <c r="H68" s="7">
        <v>80.727743684293188</v>
      </c>
      <c r="I68" s="7">
        <v>73.505179368956377</v>
      </c>
      <c r="J68" s="7">
        <v>17.65193565368758</v>
      </c>
      <c r="K68" s="7">
        <v>53.72039050705942</v>
      </c>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row>
    <row r="69" spans="1:48">
      <c r="A69" s="7" t="s">
        <v>71</v>
      </c>
      <c r="B69" s="7">
        <v>52.022177054254762</v>
      </c>
      <c r="C69" s="7">
        <v>46.790532778153427</v>
      </c>
      <c r="D69" s="7">
        <v>43.501978389974191</v>
      </c>
      <c r="E69" s="7">
        <v>34.711607548961332</v>
      </c>
      <c r="F69" s="7">
        <v>60.565678331575313</v>
      </c>
      <c r="G69" s="7">
        <v>41.837148989893571</v>
      </c>
      <c r="H69" s="7">
        <v>61.378178340003878</v>
      </c>
      <c r="I69" s="7">
        <v>58.292340279738177</v>
      </c>
      <c r="J69" s="7">
        <v>19.833961048513601</v>
      </c>
      <c r="K69" s="7">
        <v>44.307927593331229</v>
      </c>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row>
    <row r="70" spans="1:48">
      <c r="A70" s="7" t="s">
        <v>72</v>
      </c>
      <c r="B70" s="7">
        <v>66.104297510765463</v>
      </c>
      <c r="C70" s="7">
        <v>28.738257961966109</v>
      </c>
      <c r="D70" s="7">
        <v>29.571924760891871</v>
      </c>
      <c r="E70" s="7">
        <v>39.042367282935537</v>
      </c>
      <c r="F70" s="7">
        <v>74.197693257062483</v>
      </c>
      <c r="G70" s="7">
        <v>39.484399770258101</v>
      </c>
      <c r="H70" s="7">
        <v>58.487987711861187</v>
      </c>
      <c r="I70" s="7">
        <v>59.645979826485423</v>
      </c>
      <c r="J70" s="7">
        <v>15.4285553295342</v>
      </c>
      <c r="K70" s="7">
        <v>47.093076925675128</v>
      </c>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row>
    <row r="71" spans="1:48">
      <c r="A71" s="7" t="s">
        <v>73</v>
      </c>
      <c r="B71" s="7">
        <v>41.782053679724953</v>
      </c>
      <c r="C71" s="7">
        <v>38.549560345015891</v>
      </c>
      <c r="D71" s="7">
        <v>42.140985226828121</v>
      </c>
      <c r="E71" s="7">
        <v>26.110146844419639</v>
      </c>
      <c r="F71" s="7">
        <v>63.61224708707428</v>
      </c>
      <c r="G71" s="7">
        <v>25.16812881914089</v>
      </c>
      <c r="H71" s="7">
        <v>61.610750080334483</v>
      </c>
      <c r="I71" s="7">
        <v>63.810255868347888</v>
      </c>
      <c r="J71" s="7">
        <v>10.239336877137211</v>
      </c>
      <c r="K71" s="7">
        <v>41.963293769162227</v>
      </c>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row>
    <row r="72" spans="1:48">
      <c r="A72" s="7" t="s">
        <v>74</v>
      </c>
      <c r="B72" s="7">
        <v>52.938058524369147</v>
      </c>
      <c r="C72" s="7">
        <v>54.378801951550678</v>
      </c>
      <c r="D72" s="7">
        <v>46.569919192612147</v>
      </c>
      <c r="E72" s="7">
        <v>32.082963422355107</v>
      </c>
      <c r="F72" s="7">
        <v>69.250488388236121</v>
      </c>
      <c r="G72" s="7">
        <v>42.13808109285025</v>
      </c>
      <c r="H72" s="7">
        <v>65.786812393102011</v>
      </c>
      <c r="I72" s="7">
        <v>61.510799914656779</v>
      </c>
      <c r="J72" s="7">
        <v>13.875843519754889</v>
      </c>
      <c r="K72" s="7">
        <v>49.322356019913052</v>
      </c>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row>
    <row r="73" spans="1:48">
      <c r="A73" s="7" t="s">
        <v>75</v>
      </c>
      <c r="B73" s="7">
        <v>61.927730073277203</v>
      </c>
      <c r="C73" s="7">
        <v>24.464554080733819</v>
      </c>
      <c r="D73" s="7">
        <v>29.728713977317799</v>
      </c>
      <c r="E73" s="7">
        <v>40.035099015489628</v>
      </c>
      <c r="F73" s="7">
        <v>69.21756858356288</v>
      </c>
      <c r="G73" s="7">
        <v>39.908421367912517</v>
      </c>
      <c r="H73" s="7">
        <v>43.761140906396697</v>
      </c>
      <c r="I73" s="7">
        <v>53.82676958323421</v>
      </c>
      <c r="J73" s="7">
        <v>19.228207128693391</v>
      </c>
      <c r="K73" s="7">
        <v>44.985837168808231</v>
      </c>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row>
    <row r="74" spans="1:48">
      <c r="A74" s="7" t="s">
        <v>76</v>
      </c>
      <c r="B74" s="7">
        <v>54.050307964823439</v>
      </c>
      <c r="C74" s="7">
        <v>39.387480796033138</v>
      </c>
      <c r="D74" s="7">
        <v>32.020054827174889</v>
      </c>
      <c r="E74" s="7">
        <v>28.33975805078202</v>
      </c>
      <c r="F74" s="7">
        <v>57.688142543666501</v>
      </c>
      <c r="G74" s="7">
        <v>36.998611361709372</v>
      </c>
      <c r="H74" s="7">
        <v>58.680852939616052</v>
      </c>
      <c r="I74" s="7">
        <v>50.555094652776589</v>
      </c>
      <c r="J74" s="7">
        <v>15.367549177471529</v>
      </c>
      <c r="K74" s="7">
        <v>37.623749554937937</v>
      </c>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row>
    <row r="75" spans="1:48">
      <c r="A75" s="7" t="s">
        <v>77</v>
      </c>
      <c r="B75" s="7">
        <v>57.04738479416708</v>
      </c>
      <c r="C75" s="7">
        <v>54.411608576945433</v>
      </c>
      <c r="D75" s="7">
        <v>49.23010591948487</v>
      </c>
      <c r="E75" s="7">
        <v>29.796301700689739</v>
      </c>
      <c r="F75" s="7">
        <v>56.278500314863109</v>
      </c>
      <c r="G75" s="7">
        <v>42.318233111373218</v>
      </c>
      <c r="H75" s="7">
        <v>66.049321344918226</v>
      </c>
      <c r="I75" s="7">
        <v>57.351973641619267</v>
      </c>
      <c r="J75" s="7">
        <v>15.399209583327041</v>
      </c>
      <c r="K75" s="7">
        <v>40.221696571799043</v>
      </c>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row>
    <row r="76" spans="1:48">
      <c r="A76" s="7" t="s">
        <v>78</v>
      </c>
      <c r="B76" s="7">
        <v>62.528009463798497</v>
      </c>
      <c r="C76" s="7">
        <v>61.047226472139549</v>
      </c>
      <c r="D76" s="7">
        <v>52.181209278438658</v>
      </c>
      <c r="E76" s="7">
        <v>34.33171262863052</v>
      </c>
      <c r="F76" s="7">
        <v>66.905913118523486</v>
      </c>
      <c r="G76" s="7">
        <v>48.686760146322392</v>
      </c>
      <c r="H76" s="7">
        <v>71.592725713561805</v>
      </c>
      <c r="I76" s="7">
        <v>56.459303890559603</v>
      </c>
      <c r="J76" s="7">
        <v>15.862028696920049</v>
      </c>
      <c r="K76" s="7">
        <v>50.669680939753583</v>
      </c>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row>
    <row r="77" spans="1:48">
      <c r="A77" s="7" t="s">
        <v>79</v>
      </c>
      <c r="B77" s="7">
        <v>34.751604737283387</v>
      </c>
      <c r="C77" s="7">
        <v>31.870886457775271</v>
      </c>
      <c r="D77" s="7">
        <v>43.094552876381599</v>
      </c>
      <c r="E77" s="7">
        <v>22.250851941664191</v>
      </c>
      <c r="F77" s="7">
        <v>70.125837481143577</v>
      </c>
      <c r="G77" s="7">
        <v>17.783156678697299</v>
      </c>
      <c r="H77" s="7">
        <v>57.090049366995608</v>
      </c>
      <c r="I77" s="7">
        <v>68.008314038928901</v>
      </c>
      <c r="J77" s="7">
        <v>9.0781749597533228</v>
      </c>
      <c r="K77" s="7">
        <v>48.027866567695639</v>
      </c>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row>
    <row r="78" spans="1:48">
      <c r="A78" s="7" t="s">
        <v>80</v>
      </c>
      <c r="B78" s="7">
        <v>55.905131644907378</v>
      </c>
      <c r="C78" s="7">
        <v>51.807920835956892</v>
      </c>
      <c r="D78" s="7">
        <v>51.065005655305058</v>
      </c>
      <c r="E78" s="7">
        <v>33.993554496033617</v>
      </c>
      <c r="F78" s="7">
        <v>62.655137142191897</v>
      </c>
      <c r="G78" s="7">
        <v>41.198183747034527</v>
      </c>
      <c r="H78" s="7">
        <v>69.005811895162111</v>
      </c>
      <c r="I78" s="7">
        <v>68.181535707466864</v>
      </c>
      <c r="J78" s="7">
        <v>17.155495143224581</v>
      </c>
      <c r="K78" s="7">
        <v>42.803548639756457</v>
      </c>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row>
    <row r="79" spans="1:48">
      <c r="A79" s="7" t="s">
        <v>81</v>
      </c>
      <c r="B79" s="7">
        <v>46.662864172446618</v>
      </c>
      <c r="C79" s="7">
        <v>30.937580453525189</v>
      </c>
      <c r="D79" s="7">
        <v>29.217362566878059</v>
      </c>
      <c r="E79" s="7">
        <v>22.921704027313851</v>
      </c>
      <c r="F79" s="7">
        <v>59.398193963599937</v>
      </c>
      <c r="G79" s="7">
        <v>27.78897416017184</v>
      </c>
      <c r="H79" s="7">
        <v>56.392549063352689</v>
      </c>
      <c r="I79" s="7">
        <v>48.697320425253473</v>
      </c>
      <c r="J79" s="7">
        <v>9.1187262681958341</v>
      </c>
      <c r="K79" s="7">
        <v>37.006053234672052</v>
      </c>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row>
    <row r="80" spans="1:48">
      <c r="A80" s="7" t="s">
        <v>82</v>
      </c>
      <c r="B80" s="7">
        <v>30.24367238286538</v>
      </c>
      <c r="C80" s="7">
        <v>67.688537029198841</v>
      </c>
      <c r="D80" s="7">
        <v>44.049548560755767</v>
      </c>
      <c r="E80" s="7">
        <v>11.029652184224121</v>
      </c>
      <c r="F80" s="7">
        <v>52.398189632951819</v>
      </c>
      <c r="G80" s="7">
        <v>21.221250315160852</v>
      </c>
      <c r="H80" s="7">
        <v>76.899732130825754</v>
      </c>
      <c r="I80" s="7">
        <v>56.203094055135281</v>
      </c>
      <c r="J80" s="7">
        <v>4.5322145864264991</v>
      </c>
      <c r="K80" s="7">
        <v>40.453155806556232</v>
      </c>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row>
    <row r="81" spans="1:48">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row>
    <row r="82" spans="1:48">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row>
    <row r="83" spans="1:48">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row>
    <row r="84" spans="1:48">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row>
    <row r="85" spans="1:48">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row>
    <row r="86" spans="1:48">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row>
    <row r="87" spans="1:48">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row>
    <row r="88" spans="1:48">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row>
    <row r="89" spans="1:48">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row>
    <row r="90" spans="1:48">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row>
    <row r="91" spans="1:48">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row>
    <row r="92" spans="1:48">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row>
    <row r="93" spans="1:48">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row>
    <row r="94" spans="1:48">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row>
    <row r="95" spans="1:48">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row>
    <row r="96" spans="1:48">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row>
    <row r="97" spans="1:48">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row>
    <row r="98" spans="1:48">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row>
    <row r="99" spans="1:48">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row>
    <row r="100" spans="1:48">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row>
    <row r="101" spans="1:48">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row>
    <row r="102" spans="1:48">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row>
    <row r="103" spans="1:48">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row>
    <row r="104" spans="1:48">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row>
    <row r="105" spans="1:48">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row>
    <row r="106" spans="1:48">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row>
    <row r="107" spans="1:48">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row>
    <row r="108" spans="1:48">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row>
    <row r="109" spans="1:48">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row>
    <row r="110" spans="1:48">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row>
    <row r="111" spans="1:48">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row>
    <row r="112" spans="1:48">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row>
    <row r="113" spans="1:48">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row>
    <row r="114" spans="1:48">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row>
    <row r="115" spans="1:48">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row>
    <row r="116" spans="1:48">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row>
    <row r="117" spans="1:48">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row>
    <row r="118" spans="1:48">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row>
    <row r="119" spans="1:48">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row>
    <row r="120" spans="1:48">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row>
    <row r="121" spans="1:48">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row>
    <row r="122" spans="1:48">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row>
    <row r="123" spans="1:48">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row>
    <row r="124" spans="1:48">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row>
    <row r="125" spans="1:48">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row>
    <row r="126" spans="1:48">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row>
    <row r="127" spans="1:48">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row>
    <row r="128" spans="1:48">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row>
    <row r="129" spans="1:48">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row>
    <row r="130" spans="1:48">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row>
    <row r="131" spans="1:48">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row>
    <row r="132" spans="1:48">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row>
    <row r="133" spans="1:48">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row>
    <row r="134" spans="1:48">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row>
    <row r="135" spans="1:48">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row>
    <row r="136" spans="1:48">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row>
    <row r="137" spans="1:48">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row>
    <row r="138" spans="1:48">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row>
    <row r="139" spans="1:48">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row>
    <row r="140" spans="1:48">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row>
    <row r="141" spans="1:48">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row>
    <row r="142" spans="1:48">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row>
    <row r="143" spans="1:48">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row>
    <row r="144" spans="1:48">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row>
    <row r="145" spans="1:48">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row>
    <row r="146" spans="1:48">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row>
    <row r="147" spans="1:48">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row>
    <row r="148" spans="1:48">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row>
    <row r="149" spans="1:48">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row>
    <row r="150" spans="1:48">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row>
    <row r="151" spans="1:48">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row>
    <row r="152" spans="1:48">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row>
    <row r="153" spans="1:48">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row>
    <row r="154" spans="1:48">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row>
    <row r="155" spans="1:48">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row>
    <row r="156" spans="1:48">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row>
    <row r="157" spans="1:48">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row>
    <row r="158" spans="1:48">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row>
    <row r="159" spans="1:48">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row>
    <row r="160" spans="1:48">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row>
    <row r="161" spans="1:48">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row>
    <row r="162" spans="1:48">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row>
    <row r="163" spans="1:48">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row>
    <row r="164" spans="1:48">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row>
    <row r="165" spans="1:48">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row>
    <row r="166" spans="1:48">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row>
    <row r="167" spans="1:48">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row>
    <row r="168" spans="1:48">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row>
    <row r="169" spans="1:48">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row>
    <row r="170" spans="1:48">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row>
    <row r="171" spans="1:48">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row>
    <row r="172" spans="1:48">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row>
    <row r="173" spans="1:48">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row>
    <row r="174" spans="1:48">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row>
    <row r="175" spans="1:48">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row>
    <row r="176" spans="1:48">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row>
    <row r="177" spans="1:48">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row>
    <row r="178" spans="1:48">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row>
    <row r="179" spans="1:48">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row>
    <row r="180" spans="1:48">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row>
    <row r="181" spans="1:48">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row>
    <row r="182" spans="1:48">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row>
    <row r="183" spans="1:48">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row>
    <row r="184" spans="1:48">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row>
    <row r="185" spans="1:48">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row>
    <row r="186" spans="1:48">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row>
    <row r="187" spans="1:48">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row>
    <row r="188" spans="1:48">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row>
    <row r="189" spans="1:48">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row>
    <row r="190" spans="1:48">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row>
    <row r="191" spans="1:48">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row>
    <row r="192" spans="1:48">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row>
    <row r="193" spans="1:48">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row>
    <row r="194" spans="1:48">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row>
    <row r="195" spans="1:48">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row>
    <row r="196" spans="1:48">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row>
    <row r="197" spans="1:48">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row>
    <row r="198" spans="1:48">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row>
    <row r="199" spans="1:48">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row>
    <row r="200" spans="1:48">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row>
    <row r="201" spans="1:48">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row>
    <row r="202" spans="1:48">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row>
    <row r="203" spans="1:48">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row>
    <row r="204" spans="1:48">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row>
    <row r="205" spans="1:48">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row>
    <row r="206" spans="1:48">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row>
    <row r="207" spans="1:48">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row>
    <row r="208" spans="1:48">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row>
    <row r="209" spans="1:48">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row>
    <row r="210" spans="1:48">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row>
    <row r="211" spans="1:48">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row>
    <row r="212" spans="1:48">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row>
    <row r="213" spans="1:48">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row>
    <row r="214" spans="1:48">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row>
    <row r="215" spans="1:48">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row>
    <row r="216" spans="1:48">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row>
    <row r="217" spans="1:48">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row>
    <row r="218" spans="1:48">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row>
    <row r="219" spans="1:48">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row>
    <row r="220" spans="1:48">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row>
    <row r="221" spans="1:48">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row>
    <row r="222" spans="1:48">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row>
    <row r="223" spans="1:48">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row>
    <row r="224" spans="1:48">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row>
    <row r="225" spans="1:48">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row>
    <row r="226" spans="1:48">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row>
    <row r="227" spans="1:48">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row>
    <row r="228" spans="1:48">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row>
    <row r="229" spans="1:48">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row>
    <row r="230" spans="1:48">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row>
    <row r="231" spans="1:48">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row>
    <row r="232" spans="1:48">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row>
    <row r="233" spans="1:48">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row>
    <row r="234" spans="1:48">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row>
    <row r="235" spans="1:48">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row>
    <row r="236" spans="1:48">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row>
    <row r="237" spans="1:48">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row>
    <row r="238" spans="1:48">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row>
    <row r="239" spans="1:48">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row>
    <row r="240" spans="1:48">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row>
    <row r="241" spans="1:48">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row>
    <row r="242" spans="1:48">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row>
    <row r="243" spans="1:48">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row>
    <row r="244" spans="1:48">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row>
    <row r="245" spans="1:48">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row>
    <row r="246" spans="1:48">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row>
    <row r="247" spans="1:48">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row>
    <row r="248" spans="1:48">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row>
    <row r="249" spans="1:48">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row>
    <row r="250" spans="1:48">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row>
    <row r="251" spans="1:48">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row>
    <row r="252" spans="1:48">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row>
    <row r="253" spans="1:48">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row>
    <row r="254" spans="1:48">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row>
    <row r="255" spans="1:48">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row>
    <row r="256" spans="1:48">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row>
    <row r="257" spans="1:48">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row>
    <row r="258" spans="1:48">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row>
    <row r="259" spans="1:48">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row>
    <row r="260" spans="1:48">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row>
    <row r="261" spans="1:48">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row>
    <row r="262" spans="1:48">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row>
    <row r="263" spans="1:48">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row>
    <row r="264" spans="1:48">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row>
    <row r="265" spans="1:48">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row>
    <row r="266" spans="1:48">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row>
    <row r="267" spans="1:48">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row>
    <row r="268" spans="1:48">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row>
    <row r="269" spans="1:48">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row>
    <row r="270" spans="1:48">
      <c r="A270" s="1"/>
      <c r="B270" s="1"/>
      <c r="C270" s="1"/>
      <c r="D270" s="1"/>
      <c r="E270" s="1"/>
      <c r="F270" s="1"/>
      <c r="G270" s="1"/>
      <c r="H270" s="1"/>
      <c r="I270" s="1"/>
      <c r="J270" s="1"/>
      <c r="K270" s="1"/>
      <c r="L270" s="1"/>
      <c r="AD270" s="1"/>
      <c r="AE270" s="1"/>
      <c r="AF270" s="1"/>
      <c r="AG270" s="1"/>
      <c r="AH270" s="1"/>
      <c r="AI270" s="1"/>
      <c r="AJ270" s="1"/>
      <c r="AK270" s="1"/>
      <c r="AL270" s="1"/>
      <c r="AM270" s="1"/>
      <c r="AN270" s="1"/>
      <c r="AO270" s="1"/>
      <c r="AP270" s="1"/>
      <c r="AQ270" s="1"/>
      <c r="AR270" s="1"/>
      <c r="AS270" s="1"/>
      <c r="AT270" s="1"/>
      <c r="AU270" s="1"/>
      <c r="AV270" s="1"/>
    </row>
  </sheetData>
  <mergeCells count="26">
    <mergeCell ref="B1:F1"/>
    <mergeCell ref="G1:K1"/>
    <mergeCell ref="B2:F2"/>
    <mergeCell ref="G2:K2"/>
    <mergeCell ref="N3:O3"/>
    <mergeCell ref="N13:O13"/>
    <mergeCell ref="T13:U13"/>
    <mergeCell ref="Y13:Z13"/>
    <mergeCell ref="N4:N5"/>
    <mergeCell ref="N6:O6"/>
    <mergeCell ref="N7:O7"/>
    <mergeCell ref="N8:O8"/>
    <mergeCell ref="N9:O9"/>
    <mergeCell ref="N10:O10"/>
    <mergeCell ref="N14:N16"/>
    <mergeCell ref="T14:T16"/>
    <mergeCell ref="Y14:Y16"/>
    <mergeCell ref="N17:N19"/>
    <mergeCell ref="T17:T19"/>
    <mergeCell ref="Y17:Y19"/>
    <mergeCell ref="N34:S34"/>
    <mergeCell ref="T26:Y26"/>
    <mergeCell ref="T27:Y27"/>
    <mergeCell ref="T34:Y34"/>
    <mergeCell ref="N26:S26"/>
    <mergeCell ref="N27:S27"/>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FB650-8AE2-471C-9F10-D653D526CB21}">
  <sheetPr codeName="Sayfa7"/>
  <dimension ref="A1:BJ349"/>
  <sheetViews>
    <sheetView zoomScale="70" zoomScaleNormal="70" workbookViewId="0">
      <selection activeCell="K37" sqref="K37"/>
    </sheetView>
  </sheetViews>
  <sheetFormatPr defaultRowHeight="14.4"/>
  <cols>
    <col min="1" max="1" width="22.33203125" bestFit="1" customWidth="1"/>
    <col min="17" max="18" width="9.33203125" bestFit="1" customWidth="1"/>
    <col min="19" max="20" width="10.44140625" bestFit="1" customWidth="1"/>
    <col min="21" max="22" width="9.33203125" bestFit="1" customWidth="1"/>
    <col min="23" max="24" width="10.44140625" bestFit="1" customWidth="1"/>
  </cols>
  <sheetData>
    <row r="1" spans="1:62">
      <c r="A1" s="50" t="s">
        <v>205</v>
      </c>
      <c r="B1" s="181" t="s">
        <v>175</v>
      </c>
      <c r="C1" s="182"/>
      <c r="D1" s="182"/>
      <c r="E1" s="183"/>
      <c r="F1" s="181" t="s">
        <v>176</v>
      </c>
      <c r="G1" s="182"/>
      <c r="H1" s="182"/>
      <c r="I1" s="183"/>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row>
    <row r="2" spans="1:62" ht="79.2">
      <c r="A2" s="57" t="s">
        <v>211</v>
      </c>
      <c r="B2" s="50" t="s">
        <v>206</v>
      </c>
      <c r="C2" s="50" t="s">
        <v>207</v>
      </c>
      <c r="D2" s="50" t="s">
        <v>208</v>
      </c>
      <c r="E2" s="50" t="s">
        <v>209</v>
      </c>
      <c r="F2" s="50" t="s">
        <v>206</v>
      </c>
      <c r="G2" s="50" t="s">
        <v>207</v>
      </c>
      <c r="H2" s="50" t="s">
        <v>208</v>
      </c>
      <c r="I2" s="50" t="s">
        <v>209</v>
      </c>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row>
    <row r="3" spans="1:62">
      <c r="A3" s="58" t="s">
        <v>4</v>
      </c>
      <c r="B3" s="7">
        <v>2.7997261031990801</v>
      </c>
      <c r="C3" s="7">
        <v>8.8637548959560064</v>
      </c>
      <c r="D3" s="7">
        <v>27.528203118895231</v>
      </c>
      <c r="E3" s="7">
        <v>60.808315881949682</v>
      </c>
      <c r="F3" s="7">
        <v>1.592201009860259</v>
      </c>
      <c r="G3" s="7">
        <v>6.3151723499662733</v>
      </c>
      <c r="H3" s="7">
        <v>21.662890634257639</v>
      </c>
      <c r="I3" s="7">
        <v>70.429736005915828</v>
      </c>
      <c r="J3" s="1"/>
      <c r="K3" s="1"/>
      <c r="L3" s="1"/>
      <c r="M3" s="1"/>
      <c r="N3" s="1"/>
      <c r="O3" s="1"/>
      <c r="P3" s="1"/>
      <c r="Q3" s="1" t="s">
        <v>206</v>
      </c>
      <c r="R3" s="1" t="s">
        <v>207</v>
      </c>
      <c r="S3" s="1" t="s">
        <v>208</v>
      </c>
      <c r="T3" s="1" t="s">
        <v>209</v>
      </c>
      <c r="U3" s="1" t="s">
        <v>206</v>
      </c>
      <c r="V3" s="1" t="s">
        <v>207</v>
      </c>
      <c r="W3" s="1" t="s">
        <v>208</v>
      </c>
      <c r="X3" s="1" t="s">
        <v>209</v>
      </c>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row>
    <row r="4" spans="1:62">
      <c r="A4" s="7" t="s">
        <v>5</v>
      </c>
      <c r="B4" s="7">
        <v>2.5742333331835141</v>
      </c>
      <c r="C4" s="7">
        <v>5.5564714883537496</v>
      </c>
      <c r="D4" s="7">
        <v>15.054593225285799</v>
      </c>
      <c r="E4" s="7">
        <v>76.814701953176922</v>
      </c>
      <c r="F4" s="7">
        <v>0.32948414691039762</v>
      </c>
      <c r="G4" s="7">
        <v>3.4522476970505869</v>
      </c>
      <c r="H4" s="7">
        <v>6.1903287916247729</v>
      </c>
      <c r="I4" s="7">
        <v>90.027939364414237</v>
      </c>
      <c r="J4" s="1"/>
      <c r="K4" s="1"/>
      <c r="L4" s="1"/>
      <c r="M4" s="1"/>
      <c r="N4" s="1"/>
      <c r="O4" s="1"/>
      <c r="P4" s="1" t="s">
        <v>7</v>
      </c>
      <c r="Q4" s="10">
        <f>VLOOKUP(P4,A3:I80,2,0)</f>
        <v>2.7713558882973168</v>
      </c>
      <c r="R4" s="10">
        <f t="shared" ref="R4:X4" si="0">VLOOKUP(Q4,B3:J80,2,0)</f>
        <v>10.916347561985059</v>
      </c>
      <c r="S4" s="10">
        <f t="shared" si="0"/>
        <v>26.819565703342182</v>
      </c>
      <c r="T4" s="10">
        <f t="shared" si="0"/>
        <v>59.492730846375451</v>
      </c>
      <c r="U4" s="10">
        <f t="shared" si="0"/>
        <v>1.510930769643938</v>
      </c>
      <c r="V4" s="10">
        <f t="shared" si="0"/>
        <v>7.8873209487827296</v>
      </c>
      <c r="W4" s="10">
        <f t="shared" si="0"/>
        <v>21.070238321977762</v>
      </c>
      <c r="X4" s="10">
        <f t="shared" si="0"/>
        <v>69.531509959595567</v>
      </c>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row>
    <row r="5" spans="1:62">
      <c r="A5" s="7" t="s">
        <v>6</v>
      </c>
      <c r="B5" s="7">
        <v>0.92074437535210052</v>
      </c>
      <c r="C5" s="7">
        <v>3.5925223809861579</v>
      </c>
      <c r="D5" s="7">
        <v>17.0364641171664</v>
      </c>
      <c r="E5" s="7">
        <v>78.450269126495357</v>
      </c>
      <c r="F5" s="7">
        <v>0.31532433642141622</v>
      </c>
      <c r="G5" s="7">
        <v>1.8695583396200439</v>
      </c>
      <c r="H5" s="7">
        <v>9.2912460851391803</v>
      </c>
      <c r="I5" s="7">
        <v>88.523871238819353</v>
      </c>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row>
    <row r="6" spans="1:62">
      <c r="A6" s="7" t="s">
        <v>7</v>
      </c>
      <c r="B6" s="7">
        <v>2.7713558882973168</v>
      </c>
      <c r="C6" s="7">
        <v>10.916347561985059</v>
      </c>
      <c r="D6" s="7">
        <v>26.819565703342182</v>
      </c>
      <c r="E6" s="7">
        <v>59.492730846375451</v>
      </c>
      <c r="F6" s="7">
        <v>1.510930769643938</v>
      </c>
      <c r="G6" s="7">
        <v>7.8873209487827296</v>
      </c>
      <c r="H6" s="7">
        <v>21.070238321977762</v>
      </c>
      <c r="I6" s="7">
        <v>69.531509959595567</v>
      </c>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row>
    <row r="7" spans="1:62">
      <c r="A7" s="7" t="s">
        <v>8</v>
      </c>
      <c r="B7" s="7">
        <v>1.097054345369866</v>
      </c>
      <c r="C7" s="7">
        <v>5.7588544677395479</v>
      </c>
      <c r="D7" s="7">
        <v>22.369113602556691</v>
      </c>
      <c r="E7" s="7">
        <v>70.774977584333897</v>
      </c>
      <c r="F7" s="7">
        <v>0.46508631766711761</v>
      </c>
      <c r="G7" s="7">
        <v>2.9167121062015142</v>
      </c>
      <c r="H7" s="7">
        <v>13.51249305053725</v>
      </c>
      <c r="I7" s="7">
        <v>83.105708525594125</v>
      </c>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row>
    <row r="8" spans="1:62">
      <c r="A8" s="7" t="s">
        <v>9</v>
      </c>
      <c r="B8" s="7">
        <v>1.927755484214277</v>
      </c>
      <c r="C8" s="7">
        <v>8.037916813054018</v>
      </c>
      <c r="D8" s="7">
        <v>28.239558177405499</v>
      </c>
      <c r="E8" s="7">
        <v>61.79476952532621</v>
      </c>
      <c r="F8" s="7">
        <v>0.68305356953755447</v>
      </c>
      <c r="G8" s="7">
        <v>5.3465342293668918</v>
      </c>
      <c r="H8" s="7">
        <v>21.243143008474309</v>
      </c>
      <c r="I8" s="7">
        <v>72.727269192621264</v>
      </c>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row>
    <row r="9" spans="1:62">
      <c r="A9" s="7" t="s">
        <v>10</v>
      </c>
      <c r="B9" s="7">
        <v>2.678287352660782</v>
      </c>
      <c r="C9" s="7">
        <v>4.6466690162749007</v>
      </c>
      <c r="D9" s="7">
        <v>20.231719361352599</v>
      </c>
      <c r="E9" s="7">
        <v>72.443324269711724</v>
      </c>
      <c r="F9" s="7">
        <v>0.86650061621541041</v>
      </c>
      <c r="G9" s="7">
        <v>2.385928181596821</v>
      </c>
      <c r="H9" s="7">
        <v>11.213764068017641</v>
      </c>
      <c r="I9" s="7">
        <v>85.533807134170132</v>
      </c>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row>
    <row r="10" spans="1:62">
      <c r="A10" s="7" t="s">
        <v>11</v>
      </c>
      <c r="B10" s="7">
        <v>1.390127168295249</v>
      </c>
      <c r="C10" s="7">
        <v>3.2422597157270512</v>
      </c>
      <c r="D10" s="7">
        <v>22.351832286568641</v>
      </c>
      <c r="E10" s="7">
        <v>73.015780829409067</v>
      </c>
      <c r="F10" s="7">
        <v>0.37426338307384072</v>
      </c>
      <c r="G10" s="7">
        <v>2.2196854182532331</v>
      </c>
      <c r="H10" s="7">
        <v>16.83976005167473</v>
      </c>
      <c r="I10" s="7">
        <v>80.566291146998196</v>
      </c>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row>
    <row r="11" spans="1:62">
      <c r="A11" s="7" t="s">
        <v>12</v>
      </c>
      <c r="B11" s="7">
        <v>2.136396504761215</v>
      </c>
      <c r="C11" s="7">
        <v>8.3569080822963002</v>
      </c>
      <c r="D11" s="7">
        <v>21.688500503264041</v>
      </c>
      <c r="E11" s="7">
        <v>67.818194909678439</v>
      </c>
      <c r="F11" s="7">
        <v>0.44762814481031149</v>
      </c>
      <c r="G11" s="7">
        <v>3.2715265622606129</v>
      </c>
      <c r="H11" s="7">
        <v>10.827111947722271</v>
      </c>
      <c r="I11" s="7">
        <v>85.4537333452068</v>
      </c>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row>
    <row r="12" spans="1:62">
      <c r="A12" s="7" t="s">
        <v>13</v>
      </c>
      <c r="B12" s="7">
        <v>1.8535942863566039</v>
      </c>
      <c r="C12" s="7">
        <v>2.839380713375522</v>
      </c>
      <c r="D12" s="7">
        <v>26.110553175339341</v>
      </c>
      <c r="E12" s="7">
        <v>69.196471824928523</v>
      </c>
      <c r="F12" s="7">
        <v>0.1895331788458928</v>
      </c>
      <c r="G12" s="7">
        <v>0.86464975333700822</v>
      </c>
      <c r="H12" s="7">
        <v>18.162490394975681</v>
      </c>
      <c r="I12" s="7">
        <v>80.783326672841426</v>
      </c>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row>
    <row r="13" spans="1:62">
      <c r="A13" s="7" t="s">
        <v>14</v>
      </c>
      <c r="B13" s="7">
        <v>2.0821749880877869</v>
      </c>
      <c r="C13" s="7">
        <v>10.52398060431813</v>
      </c>
      <c r="D13" s="7">
        <v>22.095809495476189</v>
      </c>
      <c r="E13" s="7">
        <v>65.298034912117899</v>
      </c>
      <c r="F13" s="7">
        <v>0.9679943065055483</v>
      </c>
      <c r="G13" s="7">
        <v>6.4389489635538411</v>
      </c>
      <c r="H13" s="7">
        <v>13.948756962326589</v>
      </c>
      <c r="I13" s="7">
        <v>78.644299767614029</v>
      </c>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row>
    <row r="14" spans="1:62">
      <c r="A14" s="7" t="s">
        <v>15</v>
      </c>
      <c r="B14" s="7">
        <v>0.98499994002231894</v>
      </c>
      <c r="C14" s="7">
        <v>1.7469262608080189</v>
      </c>
      <c r="D14" s="7">
        <v>9.1814090476425037</v>
      </c>
      <c r="E14" s="7">
        <v>88.086664751527138</v>
      </c>
      <c r="F14" s="7">
        <v>0.24154135382145531</v>
      </c>
      <c r="G14" s="7">
        <v>1.2898158142665439</v>
      </c>
      <c r="H14" s="7">
        <v>4.7828188939753016</v>
      </c>
      <c r="I14" s="7">
        <v>93.685823937936703</v>
      </c>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row>
    <row r="15" spans="1:62">
      <c r="A15" s="7" t="s">
        <v>16</v>
      </c>
      <c r="B15" s="7">
        <v>3.322681615518571</v>
      </c>
      <c r="C15" s="7">
        <v>7.0832134017494974</v>
      </c>
      <c r="D15" s="7">
        <v>21.050578000688208</v>
      </c>
      <c r="E15" s="7">
        <v>68.54352698204373</v>
      </c>
      <c r="F15" s="7">
        <v>0.71990908938579734</v>
      </c>
      <c r="G15" s="7">
        <v>3.7656936119894429</v>
      </c>
      <c r="H15" s="7">
        <v>13.82708590396105</v>
      </c>
      <c r="I15" s="7">
        <v>81.687311394663709</v>
      </c>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row>
    <row r="16" spans="1:62">
      <c r="A16" s="7" t="s">
        <v>17</v>
      </c>
      <c r="B16" s="7">
        <v>1.772227092479427</v>
      </c>
      <c r="C16" s="7">
        <v>10.782155606968191</v>
      </c>
      <c r="D16" s="7">
        <v>25.844921404932752</v>
      </c>
      <c r="E16" s="7">
        <v>61.600695895619651</v>
      </c>
      <c r="F16" s="7">
        <v>0.65170739020955371</v>
      </c>
      <c r="G16" s="7">
        <v>11.907716532536559</v>
      </c>
      <c r="H16" s="7">
        <v>17.61115557107313</v>
      </c>
      <c r="I16" s="7">
        <v>69.829420506180767</v>
      </c>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row>
    <row r="17" spans="1:62">
      <c r="A17" s="7" t="s">
        <v>18</v>
      </c>
      <c r="B17" s="7">
        <v>2.4115057264198119</v>
      </c>
      <c r="C17" s="7">
        <v>5.340393046092843</v>
      </c>
      <c r="D17" s="7">
        <v>21.306457968874419</v>
      </c>
      <c r="E17" s="7">
        <v>70.941643258612928</v>
      </c>
      <c r="F17" s="7">
        <v>0.47622526643105129</v>
      </c>
      <c r="G17" s="7">
        <v>1.4440648837489189</v>
      </c>
      <c r="H17" s="7">
        <v>10.42220067809621</v>
      </c>
      <c r="I17" s="7">
        <v>87.657509171723817</v>
      </c>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row>
    <row r="18" spans="1:62">
      <c r="A18" s="7" t="s">
        <v>19</v>
      </c>
      <c r="B18" s="7">
        <v>0.31549898830085832</v>
      </c>
      <c r="C18" s="7">
        <v>3.8741488464615998</v>
      </c>
      <c r="D18" s="7">
        <v>15.96186026140901</v>
      </c>
      <c r="E18" s="7">
        <v>79.848491903828531</v>
      </c>
      <c r="F18" s="7">
        <v>7.3068438281083906E-2</v>
      </c>
      <c r="G18" s="7">
        <v>1.565044488368091</v>
      </c>
      <c r="H18" s="7">
        <v>7.9230333641486848</v>
      </c>
      <c r="I18" s="7">
        <v>90.438853709202135</v>
      </c>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row>
    <row r="19" spans="1:62">
      <c r="A19" s="7" t="s">
        <v>20</v>
      </c>
      <c r="B19" s="7">
        <v>4.1676161534877423</v>
      </c>
      <c r="C19" s="7">
        <v>8.1202930624296243</v>
      </c>
      <c r="D19" s="7">
        <v>14.024469606308919</v>
      </c>
      <c r="E19" s="7">
        <v>73.687621177773721</v>
      </c>
      <c r="F19" s="7">
        <v>1.485152819969825</v>
      </c>
      <c r="G19" s="7">
        <v>4.0225850473633562</v>
      </c>
      <c r="H19" s="7">
        <v>6.961819984491016</v>
      </c>
      <c r="I19" s="7">
        <v>87.530442148175808</v>
      </c>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row>
    <row r="20" spans="1:62">
      <c r="A20" s="7" t="s">
        <v>21</v>
      </c>
      <c r="B20" s="7">
        <v>2.0211624169860811</v>
      </c>
      <c r="C20" s="7">
        <v>3.748351096771025</v>
      </c>
      <c r="D20" s="7">
        <v>11.356357570908299</v>
      </c>
      <c r="E20" s="7">
        <v>82.874128915334595</v>
      </c>
      <c r="F20" s="7">
        <v>0.46648145387389978</v>
      </c>
      <c r="G20" s="7">
        <v>1.375768692919821</v>
      </c>
      <c r="H20" s="7">
        <v>5.1964231586395844</v>
      </c>
      <c r="I20" s="7">
        <v>92.961326694566694</v>
      </c>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row>
    <row r="21" spans="1:62">
      <c r="A21" s="7" t="s">
        <v>22</v>
      </c>
      <c r="B21" s="7">
        <v>1.6840185076835259</v>
      </c>
      <c r="C21" s="7">
        <v>5.480548960783608</v>
      </c>
      <c r="D21" s="7">
        <v>11.312063143255489</v>
      </c>
      <c r="E21" s="7">
        <v>81.523369388277374</v>
      </c>
      <c r="F21" s="7">
        <v>0.77760725433475242</v>
      </c>
      <c r="G21" s="7">
        <v>2.988651921227822</v>
      </c>
      <c r="H21" s="7">
        <v>6.9625368202369451</v>
      </c>
      <c r="I21" s="7">
        <v>89.271204004200484</v>
      </c>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row>
    <row r="22" spans="1:62">
      <c r="A22" s="7" t="s">
        <v>23</v>
      </c>
      <c r="B22" s="7">
        <v>4.5179044441383498</v>
      </c>
      <c r="C22" s="7">
        <v>4.71724773326092</v>
      </c>
      <c r="D22" s="7">
        <v>13.632205755123911</v>
      </c>
      <c r="E22" s="7">
        <v>77.132642067476823</v>
      </c>
      <c r="F22" s="7">
        <v>1.309472544542482</v>
      </c>
      <c r="G22" s="7">
        <v>1.504537633576708</v>
      </c>
      <c r="H22" s="7">
        <v>8.5260051942413817</v>
      </c>
      <c r="I22" s="7">
        <v>88.659984627639417</v>
      </c>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row>
    <row r="23" spans="1:62">
      <c r="A23" s="7" t="s">
        <v>24</v>
      </c>
      <c r="B23" s="7">
        <v>1.6024374488198969</v>
      </c>
      <c r="C23" s="7">
        <v>6.1538910122870387</v>
      </c>
      <c r="D23" s="7">
        <v>26.320736709241771</v>
      </c>
      <c r="E23" s="7">
        <v>65.922934829651297</v>
      </c>
      <c r="F23" s="7">
        <v>0.25869895407869681</v>
      </c>
      <c r="G23" s="7">
        <v>3.7606427279695169</v>
      </c>
      <c r="H23" s="7">
        <v>20.854697437059581</v>
      </c>
      <c r="I23" s="7">
        <v>75.125960880892194</v>
      </c>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row>
    <row r="24" spans="1:62">
      <c r="A24" s="7" t="s">
        <v>25</v>
      </c>
      <c r="B24" s="7">
        <v>3.082733700531413</v>
      </c>
      <c r="C24" s="7">
        <v>13.0419921394691</v>
      </c>
      <c r="D24" s="7">
        <v>41.266905519435241</v>
      </c>
      <c r="E24" s="7">
        <v>42.608368640564237</v>
      </c>
      <c r="F24" s="7">
        <v>1.3068636070249831</v>
      </c>
      <c r="G24" s="7">
        <v>17.54593466484776</v>
      </c>
      <c r="H24" s="7">
        <v>34.766029251650409</v>
      </c>
      <c r="I24" s="7">
        <v>46.381172476476827</v>
      </c>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row>
    <row r="25" spans="1:62">
      <c r="A25" s="7" t="s">
        <v>26</v>
      </c>
      <c r="B25" s="7">
        <v>3.3198680675516159</v>
      </c>
      <c r="C25" s="7">
        <v>6.028110955760086</v>
      </c>
      <c r="D25" s="7">
        <v>20.522638269514779</v>
      </c>
      <c r="E25" s="7">
        <v>70.129382707173505</v>
      </c>
      <c r="F25" s="7">
        <v>0.40617147078868099</v>
      </c>
      <c r="G25" s="7">
        <v>2.755395385054666</v>
      </c>
      <c r="H25" s="7">
        <v>12.66981215090809</v>
      </c>
      <c r="I25" s="7">
        <v>84.168620993248553</v>
      </c>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row>
    <row r="26" spans="1:62">
      <c r="A26" s="7" t="s">
        <v>27</v>
      </c>
      <c r="B26" s="7">
        <v>1.1107946644576601</v>
      </c>
      <c r="C26" s="7">
        <v>5.9185971852186396</v>
      </c>
      <c r="D26" s="7">
        <v>28.505721328088331</v>
      </c>
      <c r="E26" s="7">
        <v>64.464886822235357</v>
      </c>
      <c r="F26" s="7">
        <v>0.86763424553056434</v>
      </c>
      <c r="G26" s="7">
        <v>5.556209184090477</v>
      </c>
      <c r="H26" s="7">
        <v>18.873672427385291</v>
      </c>
      <c r="I26" s="7">
        <v>74.702484142993669</v>
      </c>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row>
    <row r="27" spans="1:62">
      <c r="A27" s="7" t="s">
        <v>110</v>
      </c>
      <c r="B27" s="7">
        <v>0.75242388957341155</v>
      </c>
      <c r="C27" s="7">
        <v>1.863635203195114</v>
      </c>
      <c r="D27" s="7">
        <v>5.8270598854211642</v>
      </c>
      <c r="E27" s="7">
        <v>91.556881021810298</v>
      </c>
      <c r="F27" s="7">
        <v>7.34185105196416E-2</v>
      </c>
      <c r="G27" s="7">
        <v>0.93367058749170739</v>
      </c>
      <c r="H27" s="7">
        <v>3.89463527557968</v>
      </c>
      <c r="I27" s="7">
        <v>95.098275626408963</v>
      </c>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row>
    <row r="28" spans="1:62">
      <c r="A28" s="7" t="s">
        <v>29</v>
      </c>
      <c r="B28" s="7">
        <v>1.3828374523500351</v>
      </c>
      <c r="C28" s="7">
        <v>5.9967416627106882</v>
      </c>
      <c r="D28" s="7">
        <v>23.824185691631229</v>
      </c>
      <c r="E28" s="7">
        <v>68.796235193308036</v>
      </c>
      <c r="F28" s="7">
        <v>0.60316959509411072</v>
      </c>
      <c r="G28" s="7">
        <v>3.0582763518550209</v>
      </c>
      <c r="H28" s="7">
        <v>16.43076935440908</v>
      </c>
      <c r="I28" s="7">
        <v>79.907784698641805</v>
      </c>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row>
    <row r="29" spans="1:62">
      <c r="A29" s="7" t="s">
        <v>30</v>
      </c>
      <c r="B29" s="7">
        <v>2.1668635139782371</v>
      </c>
      <c r="C29" s="7">
        <v>5.7920196167351694</v>
      </c>
      <c r="D29" s="7">
        <v>33.730105277825878</v>
      </c>
      <c r="E29" s="7">
        <v>58.311011591460712</v>
      </c>
      <c r="F29" s="7">
        <v>0.51061999077009323</v>
      </c>
      <c r="G29" s="7">
        <v>2.8224932817101789</v>
      </c>
      <c r="H29" s="7">
        <v>23.65653409416656</v>
      </c>
      <c r="I29" s="7">
        <v>73.010352633353165</v>
      </c>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row>
    <row r="30" spans="1:62">
      <c r="A30" s="7" t="s">
        <v>31</v>
      </c>
      <c r="B30" s="7">
        <v>1.697075356316414</v>
      </c>
      <c r="C30" s="7">
        <v>4.8837755441127202</v>
      </c>
      <c r="D30" s="7">
        <v>15.946577548920139</v>
      </c>
      <c r="E30" s="7">
        <v>77.472571550650727</v>
      </c>
      <c r="F30" s="7">
        <v>0.41788561509793642</v>
      </c>
      <c r="G30" s="7">
        <v>1.779100570163759</v>
      </c>
      <c r="H30" s="7">
        <v>8.515952414901097</v>
      </c>
      <c r="I30" s="7">
        <v>89.287061399837214</v>
      </c>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row>
    <row r="31" spans="1:62">
      <c r="A31" s="7" t="s">
        <v>111</v>
      </c>
      <c r="B31" s="7">
        <v>1.152664468164353</v>
      </c>
      <c r="C31" s="7">
        <v>8.7608493386412736</v>
      </c>
      <c r="D31" s="7">
        <v>24.96020643685052</v>
      </c>
      <c r="E31" s="7">
        <v>65.126279756343862</v>
      </c>
      <c r="F31" s="7">
        <v>0.5233202949843907</v>
      </c>
      <c r="G31" s="7">
        <v>6.1972697464859419</v>
      </c>
      <c r="H31" s="7">
        <v>17.710382432324359</v>
      </c>
      <c r="I31" s="7">
        <v>75.569027526205318</v>
      </c>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row>
    <row r="32" spans="1:62">
      <c r="A32" s="7" t="s">
        <v>33</v>
      </c>
      <c r="B32" s="7">
        <v>4.7184730299392381</v>
      </c>
      <c r="C32" s="7">
        <v>12.652195911850081</v>
      </c>
      <c r="D32" s="7">
        <v>22.795652548567819</v>
      </c>
      <c r="E32" s="7">
        <v>59.833678509642873</v>
      </c>
      <c r="F32" s="7">
        <v>1.4860034127574451</v>
      </c>
      <c r="G32" s="7">
        <v>9.6341832989504841</v>
      </c>
      <c r="H32" s="7">
        <v>15.070814935681151</v>
      </c>
      <c r="I32" s="7">
        <v>73.808998352610899</v>
      </c>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row>
    <row r="33" spans="1:62">
      <c r="A33" s="7" t="s">
        <v>34</v>
      </c>
      <c r="B33" s="7">
        <v>3.0069888114475498</v>
      </c>
      <c r="C33" s="7">
        <v>7.076825425540088</v>
      </c>
      <c r="D33" s="7">
        <v>28.567518445528069</v>
      </c>
      <c r="E33" s="7">
        <v>61.348667317484278</v>
      </c>
      <c r="F33" s="7">
        <v>0.64670084554043439</v>
      </c>
      <c r="G33" s="7">
        <v>3.7714990975408988</v>
      </c>
      <c r="H33" s="7">
        <v>19.390687625920702</v>
      </c>
      <c r="I33" s="7">
        <v>76.191112430997961</v>
      </c>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row>
    <row r="34" spans="1:62">
      <c r="A34" s="7" t="s">
        <v>35</v>
      </c>
      <c r="B34" s="7">
        <v>1.098394211113797</v>
      </c>
      <c r="C34" s="7">
        <v>3.8703467088255059</v>
      </c>
      <c r="D34" s="7">
        <v>11.72356037725512</v>
      </c>
      <c r="E34" s="7">
        <v>83.307698702805567</v>
      </c>
      <c r="F34" s="7">
        <v>0.34216845320869632</v>
      </c>
      <c r="G34" s="7">
        <v>1.9068616741761639</v>
      </c>
      <c r="H34" s="7">
        <v>5.9839252381649484</v>
      </c>
      <c r="I34" s="7">
        <v>91.767044634450173</v>
      </c>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row>
    <row r="35" spans="1:62">
      <c r="A35" s="7" t="s">
        <v>36</v>
      </c>
      <c r="B35" s="7">
        <v>1.7240789016844029</v>
      </c>
      <c r="C35" s="7">
        <v>7.952034557417786</v>
      </c>
      <c r="D35" s="7">
        <v>28.929302746895772</v>
      </c>
      <c r="E35" s="7">
        <v>61.394583794002031</v>
      </c>
      <c r="F35" s="7">
        <v>0.59096644713169466</v>
      </c>
      <c r="G35" s="7">
        <v>4.9289953912068061</v>
      </c>
      <c r="H35" s="7">
        <v>21.577981346898419</v>
      </c>
      <c r="I35" s="7">
        <v>72.9020568147631</v>
      </c>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row>
    <row r="36" spans="1:62">
      <c r="A36" s="7" t="s">
        <v>37</v>
      </c>
      <c r="B36" s="7">
        <v>1.734535931271272</v>
      </c>
      <c r="C36" s="7">
        <v>3.403061861835968</v>
      </c>
      <c r="D36" s="7">
        <v>13.62557693926116</v>
      </c>
      <c r="E36" s="7">
        <v>81.236825267631602</v>
      </c>
      <c r="F36" s="7">
        <v>0.33952336920398918</v>
      </c>
      <c r="G36" s="7">
        <v>1.4910110646244259</v>
      </c>
      <c r="H36" s="7">
        <v>8.4189133813182071</v>
      </c>
      <c r="I36" s="7">
        <v>89.750552184853376</v>
      </c>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row>
    <row r="37" spans="1:62">
      <c r="A37" s="7" t="s">
        <v>38</v>
      </c>
      <c r="B37" s="7">
        <v>3.1554553492759352</v>
      </c>
      <c r="C37" s="7">
        <v>7.6389366576421329</v>
      </c>
      <c r="D37" s="7">
        <v>25.744428274722271</v>
      </c>
      <c r="E37" s="7">
        <v>63.461179718359659</v>
      </c>
      <c r="F37" s="7">
        <v>1.9547131302100089</v>
      </c>
      <c r="G37" s="7">
        <v>8.7756325253470102</v>
      </c>
      <c r="H37" s="7">
        <v>19.935076528374939</v>
      </c>
      <c r="I37" s="7">
        <v>69.334577816068048</v>
      </c>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row>
    <row r="38" spans="1:62">
      <c r="A38" s="7" t="s">
        <v>39</v>
      </c>
      <c r="B38" s="7">
        <v>0.97976452087594512</v>
      </c>
      <c r="C38" s="7">
        <v>4.691378592535477</v>
      </c>
      <c r="D38" s="7">
        <v>21.18804404458006</v>
      </c>
      <c r="E38" s="7">
        <v>73.140812842008543</v>
      </c>
      <c r="F38" s="7">
        <v>0.15656196474915779</v>
      </c>
      <c r="G38" s="7">
        <v>2.391243366357926</v>
      </c>
      <c r="H38" s="7">
        <v>15.2150140454116</v>
      </c>
      <c r="I38" s="7">
        <v>82.237180623481322</v>
      </c>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row>
    <row r="39" spans="1:62" ht="14.4" customHeight="1">
      <c r="A39" s="7" t="s">
        <v>112</v>
      </c>
      <c r="B39" s="7">
        <v>3.2531529852756349</v>
      </c>
      <c r="C39" s="7">
        <v>13.600565396666561</v>
      </c>
      <c r="D39" s="7">
        <v>25.629338614796101</v>
      </c>
      <c r="E39" s="7">
        <v>57.516943003261702</v>
      </c>
      <c r="F39" s="7">
        <v>2.0739428786405809</v>
      </c>
      <c r="G39" s="7">
        <v>13.159683404897059</v>
      </c>
      <c r="H39" s="7">
        <v>19.346132699276861</v>
      </c>
      <c r="I39" s="7">
        <v>65.420241017185504</v>
      </c>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row>
    <row r="40" spans="1:62">
      <c r="A40" s="7" t="s">
        <v>210</v>
      </c>
      <c r="B40" s="7">
        <v>2.145070459930845</v>
      </c>
      <c r="C40" s="7">
        <v>6.5554946358333837</v>
      </c>
      <c r="D40" s="7">
        <v>21.413616059035991</v>
      </c>
      <c r="E40" s="7">
        <v>69.885818845199779</v>
      </c>
      <c r="F40" s="7">
        <v>0.71625751826142414</v>
      </c>
      <c r="G40" s="7">
        <v>4.4135206891555843</v>
      </c>
      <c r="H40" s="7">
        <v>14.283414419595189</v>
      </c>
      <c r="I40" s="7">
        <v>80.586807372987792</v>
      </c>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row>
    <row r="41" spans="1:62">
      <c r="A41" s="7" t="s">
        <v>41</v>
      </c>
      <c r="B41" s="7">
        <v>2.9100168696682851</v>
      </c>
      <c r="C41" s="7">
        <v>7.6629737262686337</v>
      </c>
      <c r="D41" s="7">
        <v>27.550678429038459</v>
      </c>
      <c r="E41" s="7">
        <v>61.876330975024629</v>
      </c>
      <c r="F41" s="7">
        <v>1.709808461511954</v>
      </c>
      <c r="G41" s="7">
        <v>9.2871568413457979</v>
      </c>
      <c r="H41" s="7">
        <v>24.125095499256361</v>
      </c>
      <c r="I41" s="7">
        <v>64.87793919788588</v>
      </c>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row>
    <row r="42" spans="1:62">
      <c r="A42" s="7" t="s">
        <v>42</v>
      </c>
      <c r="B42" s="7">
        <v>2.612018705836455</v>
      </c>
      <c r="C42" s="7">
        <v>6.8006647571286658</v>
      </c>
      <c r="D42" s="7">
        <v>15.64764730890581</v>
      </c>
      <c r="E42" s="7">
        <v>74.939669228129063</v>
      </c>
      <c r="F42" s="7">
        <v>1.1952212810638589</v>
      </c>
      <c r="G42" s="7">
        <v>3.5527766474069522</v>
      </c>
      <c r="H42" s="7">
        <v>11.093666501545391</v>
      </c>
      <c r="I42" s="7">
        <v>84.158335569983805</v>
      </c>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row>
    <row r="43" spans="1:62">
      <c r="A43" s="7" t="s">
        <v>43</v>
      </c>
      <c r="B43" s="7">
        <v>6.7673293915729387</v>
      </c>
      <c r="C43" s="7">
        <v>12.05812363414918</v>
      </c>
      <c r="D43" s="7">
        <v>27.364313424890639</v>
      </c>
      <c r="E43" s="7">
        <v>53.810233549387242</v>
      </c>
      <c r="F43" s="7">
        <v>3.0371343808824212</v>
      </c>
      <c r="G43" s="7">
        <v>11.734456690960929</v>
      </c>
      <c r="H43" s="7">
        <v>26.927915937657591</v>
      </c>
      <c r="I43" s="7">
        <v>58.300492990499052</v>
      </c>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row>
    <row r="44" spans="1:62">
      <c r="A44" s="7" t="s">
        <v>44</v>
      </c>
      <c r="B44" s="7">
        <v>2.0989233636693929</v>
      </c>
      <c r="C44" s="7">
        <v>7.0436023149100659</v>
      </c>
      <c r="D44" s="7">
        <v>33.706320013019592</v>
      </c>
      <c r="E44" s="7">
        <v>57.151154308400947</v>
      </c>
      <c r="F44" s="7">
        <v>0.50355014512916696</v>
      </c>
      <c r="G44" s="7">
        <v>6.1982451221462442</v>
      </c>
      <c r="H44" s="7">
        <v>23.566435859344711</v>
      </c>
      <c r="I44" s="7">
        <v>69.731768873379863</v>
      </c>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row>
    <row r="45" spans="1:62">
      <c r="A45" s="7" t="s">
        <v>45</v>
      </c>
      <c r="B45" s="7">
        <v>3.7005592898955491</v>
      </c>
      <c r="C45" s="7">
        <v>6.0267689026688576</v>
      </c>
      <c r="D45" s="7">
        <v>13.76494472377075</v>
      </c>
      <c r="E45" s="7">
        <v>76.507727083664847</v>
      </c>
      <c r="F45" s="7">
        <v>0.81262164001229242</v>
      </c>
      <c r="G45" s="7">
        <v>3.4369238885756088</v>
      </c>
      <c r="H45" s="7">
        <v>7.4090867733200474</v>
      </c>
      <c r="I45" s="7">
        <v>88.341367698092057</v>
      </c>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row>
    <row r="46" spans="1:62">
      <c r="A46" s="7" t="s">
        <v>46</v>
      </c>
      <c r="B46" s="7">
        <v>3.294338072760659</v>
      </c>
      <c r="C46" s="7">
        <v>9.3308790941010624</v>
      </c>
      <c r="D46" s="7">
        <v>19.117078971236069</v>
      </c>
      <c r="E46" s="7">
        <v>68.257703861902201</v>
      </c>
      <c r="F46" s="7">
        <v>1.7263994759237831</v>
      </c>
      <c r="G46" s="7">
        <v>6.2345658538334101</v>
      </c>
      <c r="H46" s="7">
        <v>12.8566352641196</v>
      </c>
      <c r="I46" s="7">
        <v>79.18239940612321</v>
      </c>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row>
    <row r="47" spans="1:62">
      <c r="A47" s="7" t="s">
        <v>47</v>
      </c>
      <c r="B47" s="7">
        <v>1.9719066812389709</v>
      </c>
      <c r="C47" s="7">
        <v>4.7784873829492476</v>
      </c>
      <c r="D47" s="7">
        <v>16.258901407629381</v>
      </c>
      <c r="E47" s="7">
        <v>76.990704528182391</v>
      </c>
      <c r="F47" s="7">
        <v>0.90170611987775395</v>
      </c>
      <c r="G47" s="7">
        <v>2.1111255895144341</v>
      </c>
      <c r="H47" s="7">
        <v>14.9720774546124</v>
      </c>
      <c r="I47" s="7">
        <v>82.015090835995423</v>
      </c>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row>
    <row r="48" spans="1:62">
      <c r="A48" s="7" t="s">
        <v>48</v>
      </c>
      <c r="B48" s="7">
        <v>1.0266652207916811</v>
      </c>
      <c r="C48" s="7">
        <v>3.887680766461509</v>
      </c>
      <c r="D48" s="7">
        <v>47.626362699379932</v>
      </c>
      <c r="E48" s="7">
        <v>47.459291313366883</v>
      </c>
      <c r="F48" s="7">
        <v>0.4630165290942273</v>
      </c>
      <c r="G48" s="7">
        <v>2.7651482576986748</v>
      </c>
      <c r="H48" s="7">
        <v>55.486385923981913</v>
      </c>
      <c r="I48" s="7">
        <v>41.285449289225191</v>
      </c>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row>
    <row r="49" spans="1:62">
      <c r="A49" s="7" t="s">
        <v>49</v>
      </c>
      <c r="B49" s="7">
        <v>5.5112727082377786</v>
      </c>
      <c r="C49" s="7">
        <v>10.256460248688411</v>
      </c>
      <c r="D49" s="7">
        <v>20.789399725240791</v>
      </c>
      <c r="E49" s="7">
        <v>63.44286731783302</v>
      </c>
      <c r="F49" s="7">
        <v>2.047196880265878</v>
      </c>
      <c r="G49" s="7">
        <v>6.2712291288465272</v>
      </c>
      <c r="H49" s="7">
        <v>12.69908899804722</v>
      </c>
      <c r="I49" s="7">
        <v>78.982484992840384</v>
      </c>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row>
    <row r="50" spans="1:62">
      <c r="A50" s="7" t="s">
        <v>50</v>
      </c>
      <c r="B50" s="7">
        <v>1.888025744938282</v>
      </c>
      <c r="C50" s="7">
        <v>4.3492014482401578</v>
      </c>
      <c r="D50" s="7">
        <v>13.461256618902111</v>
      </c>
      <c r="E50" s="7">
        <v>80.301516187919447</v>
      </c>
      <c r="F50" s="7">
        <v>0.9222776036827548</v>
      </c>
      <c r="G50" s="7">
        <v>3.748913773308677</v>
      </c>
      <c r="H50" s="7">
        <v>7.9580578652326803</v>
      </c>
      <c r="I50" s="7">
        <v>87.37075075777588</v>
      </c>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row>
    <row r="51" spans="1:62">
      <c r="A51" s="7" t="s">
        <v>51</v>
      </c>
      <c r="B51" s="7">
        <v>1.367551995897639</v>
      </c>
      <c r="C51" s="7">
        <v>3.3409001849708391</v>
      </c>
      <c r="D51" s="7">
        <v>11.42762087732598</v>
      </c>
      <c r="E51" s="7">
        <v>83.863926941805559</v>
      </c>
      <c r="F51" s="7">
        <v>9.3690929885611202E-2</v>
      </c>
      <c r="G51" s="7">
        <v>1.245331485557591</v>
      </c>
      <c r="H51" s="7">
        <v>4.2793363045723698</v>
      </c>
      <c r="I51" s="7">
        <v>94.381641279984422</v>
      </c>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row>
    <row r="52" spans="1:62">
      <c r="A52" s="7" t="s">
        <v>52</v>
      </c>
      <c r="B52" s="7">
        <v>3.7397561248301079</v>
      </c>
      <c r="C52" s="7">
        <v>7.9500010996780794</v>
      </c>
      <c r="D52" s="7">
        <v>23.362494650471291</v>
      </c>
      <c r="E52" s="7">
        <v>64.94774812502051</v>
      </c>
      <c r="F52" s="7">
        <v>1.0023039370593749</v>
      </c>
      <c r="G52" s="7">
        <v>3.413650584702784</v>
      </c>
      <c r="H52" s="7">
        <v>14.755906703213791</v>
      </c>
      <c r="I52" s="7">
        <v>80.828138775024044</v>
      </c>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row>
    <row r="53" spans="1:62">
      <c r="A53" s="7" t="s">
        <v>53</v>
      </c>
      <c r="B53" s="7">
        <v>4.4761150311784332</v>
      </c>
      <c r="C53" s="7">
        <v>9.4337883478753142</v>
      </c>
      <c r="D53" s="7">
        <v>28.961364545065209</v>
      </c>
      <c r="E53" s="7">
        <v>57.12873207588104</v>
      </c>
      <c r="F53" s="7">
        <v>2.108012305172092</v>
      </c>
      <c r="G53" s="7">
        <v>6.9872006792348031</v>
      </c>
      <c r="H53" s="7">
        <v>21.121304146961162</v>
      </c>
      <c r="I53" s="7">
        <v>69.78348286863195</v>
      </c>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row>
    <row r="54" spans="1:62">
      <c r="A54" s="7" t="s">
        <v>54</v>
      </c>
      <c r="B54" s="7">
        <v>6.2138262141568399</v>
      </c>
      <c r="C54" s="7">
        <v>11.468846292989809</v>
      </c>
      <c r="D54" s="7">
        <v>24.746828780854081</v>
      </c>
      <c r="E54" s="7">
        <v>57.570498711999257</v>
      </c>
      <c r="F54" s="7">
        <v>3.6130427069230091</v>
      </c>
      <c r="G54" s="7">
        <v>8.1712939006092391</v>
      </c>
      <c r="H54" s="7">
        <v>17.917910400821011</v>
      </c>
      <c r="I54" s="7">
        <v>70.297752991646746</v>
      </c>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row>
    <row r="55" spans="1:62">
      <c r="A55" s="7" t="s">
        <v>128</v>
      </c>
      <c r="B55" s="7">
        <v>1.7973934620649039</v>
      </c>
      <c r="C55" s="7">
        <v>3.719217097261645</v>
      </c>
      <c r="D55" s="7">
        <v>19.95599360597009</v>
      </c>
      <c r="E55" s="7">
        <v>74.52739583470337</v>
      </c>
      <c r="F55" s="7">
        <v>0.75628036243153063</v>
      </c>
      <c r="G55" s="7">
        <v>0.60828026849630601</v>
      </c>
      <c r="H55" s="7">
        <v>9.2818976329984171</v>
      </c>
      <c r="I55" s="7">
        <v>89.353541736073751</v>
      </c>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row>
    <row r="56" spans="1:62">
      <c r="A56" s="7" t="s">
        <v>56</v>
      </c>
      <c r="B56" s="7">
        <v>6.8876551327037276</v>
      </c>
      <c r="C56" s="7">
        <v>7.541508447321406</v>
      </c>
      <c r="D56" s="7">
        <v>23.668871187765131</v>
      </c>
      <c r="E56" s="7">
        <v>61.901965232209733</v>
      </c>
      <c r="F56" s="7">
        <v>4.3247951810371514</v>
      </c>
      <c r="G56" s="7">
        <v>5.8927048738559273</v>
      </c>
      <c r="H56" s="7">
        <v>18.035309512813601</v>
      </c>
      <c r="I56" s="7">
        <v>71.747190432293323</v>
      </c>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row>
    <row r="57" spans="1:62">
      <c r="A57" s="7" t="s">
        <v>57</v>
      </c>
      <c r="B57" s="7">
        <v>6.6375109859563048</v>
      </c>
      <c r="C57" s="7">
        <v>16.227701249046071</v>
      </c>
      <c r="D57" s="7">
        <v>25.13060806856835</v>
      </c>
      <c r="E57" s="7">
        <v>52.004179696429283</v>
      </c>
      <c r="F57" s="7">
        <v>2.211687337263728</v>
      </c>
      <c r="G57" s="7">
        <v>7.1467292501578061</v>
      </c>
      <c r="H57" s="7">
        <v>21.998073689088638</v>
      </c>
      <c r="I57" s="7">
        <v>68.643509723489828</v>
      </c>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row>
    <row r="58" spans="1:62">
      <c r="A58" s="7" t="s">
        <v>58</v>
      </c>
      <c r="B58" s="7">
        <v>3.7008035608059742</v>
      </c>
      <c r="C58" s="7">
        <v>7.6566846570284124</v>
      </c>
      <c r="D58" s="7">
        <v>30.304928245055009</v>
      </c>
      <c r="E58" s="7">
        <v>58.337583537110604</v>
      </c>
      <c r="F58" s="7">
        <v>1.4283796264744479</v>
      </c>
      <c r="G58" s="7">
        <v>5.4350319031177738</v>
      </c>
      <c r="H58" s="7">
        <v>23.128687986185898</v>
      </c>
      <c r="I58" s="7">
        <v>70.007900484221892</v>
      </c>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row>
    <row r="59" spans="1:62">
      <c r="A59" s="7" t="s">
        <v>59</v>
      </c>
      <c r="B59" s="7">
        <v>3.7322768339308259</v>
      </c>
      <c r="C59" s="7">
        <v>9.5466897716304366</v>
      </c>
      <c r="D59" s="7">
        <v>28.977449327565079</v>
      </c>
      <c r="E59" s="7">
        <v>57.743584066873652</v>
      </c>
      <c r="F59" s="7">
        <v>1.4505310548991079</v>
      </c>
      <c r="G59" s="7">
        <v>8.9178840924802962</v>
      </c>
      <c r="H59" s="7">
        <v>29.0787261556335</v>
      </c>
      <c r="I59" s="7">
        <v>60.552858696987087</v>
      </c>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row>
    <row r="60" spans="1:62">
      <c r="A60" s="7" t="s">
        <v>61</v>
      </c>
      <c r="B60" s="7">
        <v>2.61961568468957</v>
      </c>
      <c r="C60" s="7">
        <v>7.7395668625629082</v>
      </c>
      <c r="D60" s="7">
        <v>20.041214686715271</v>
      </c>
      <c r="E60" s="7">
        <v>69.599602766032248</v>
      </c>
      <c r="F60" s="7">
        <v>0.64827380091039144</v>
      </c>
      <c r="G60" s="7">
        <v>3.4038888196019972</v>
      </c>
      <c r="H60" s="7">
        <v>11.14107982478231</v>
      </c>
      <c r="I60" s="7">
        <v>84.8067575547053</v>
      </c>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row>
    <row r="61" spans="1:62">
      <c r="A61" s="7" t="s">
        <v>62</v>
      </c>
      <c r="B61" s="7">
        <v>2.2651740558898288</v>
      </c>
      <c r="C61" s="7">
        <v>5.8047229152920519</v>
      </c>
      <c r="D61" s="7">
        <v>21.81513275029776</v>
      </c>
      <c r="E61" s="7">
        <v>70.11497027852036</v>
      </c>
      <c r="F61" s="7">
        <v>0.71967239294314489</v>
      </c>
      <c r="G61" s="7">
        <v>2.972159553652348</v>
      </c>
      <c r="H61" s="7">
        <v>19.498763328216281</v>
      </c>
      <c r="I61" s="7">
        <v>76.80940472518823</v>
      </c>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row>
    <row r="62" spans="1:62">
      <c r="A62" s="7" t="s">
        <v>63</v>
      </c>
      <c r="B62" s="7">
        <v>1.849458983451417</v>
      </c>
      <c r="C62" s="7">
        <v>5.7989945433186652</v>
      </c>
      <c r="D62" s="7">
        <v>15.186836945806681</v>
      </c>
      <c r="E62" s="7">
        <v>77.164709527423241</v>
      </c>
      <c r="F62" s="7">
        <v>0.38474575924925308</v>
      </c>
      <c r="G62" s="7">
        <v>1.303380037620375</v>
      </c>
      <c r="H62" s="7">
        <v>7.8475869566405958</v>
      </c>
      <c r="I62" s="7">
        <v>90.464287246489775</v>
      </c>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row>
    <row r="63" spans="1:62">
      <c r="A63" s="7" t="s">
        <v>64</v>
      </c>
      <c r="B63" s="7">
        <v>5.5328658231357837</v>
      </c>
      <c r="C63" s="7">
        <v>15.79042100398684</v>
      </c>
      <c r="D63" s="7">
        <v>29.50208904797287</v>
      </c>
      <c r="E63" s="7">
        <v>49.174624124904497</v>
      </c>
      <c r="F63" s="7">
        <v>2.852218234530528</v>
      </c>
      <c r="G63" s="7">
        <v>10.872709710381541</v>
      </c>
      <c r="H63" s="7">
        <v>22.779270989524271</v>
      </c>
      <c r="I63" s="7">
        <v>63.495801065563661</v>
      </c>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row>
    <row r="64" spans="1:62">
      <c r="A64" s="7" t="s">
        <v>65</v>
      </c>
      <c r="B64" s="7">
        <v>5.1950002323982734</v>
      </c>
      <c r="C64" s="7">
        <v>12.276581936240991</v>
      </c>
      <c r="D64" s="7">
        <v>22.542398733126301</v>
      </c>
      <c r="E64" s="7">
        <v>59.986019098234422</v>
      </c>
      <c r="F64" s="7">
        <v>2.6764926912193969</v>
      </c>
      <c r="G64" s="7">
        <v>13.27486551484645</v>
      </c>
      <c r="H64" s="7">
        <v>15.68375918567151</v>
      </c>
      <c r="I64" s="7">
        <v>68.364882608262661</v>
      </c>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row>
    <row r="65" spans="1:62">
      <c r="A65" s="7" t="s">
        <v>66</v>
      </c>
      <c r="B65" s="7">
        <v>7.132765207422449</v>
      </c>
      <c r="C65" s="7">
        <v>13.05440081585278</v>
      </c>
      <c r="D65" s="7">
        <v>32.657674870794033</v>
      </c>
      <c r="E65" s="7">
        <v>47.155159105930743</v>
      </c>
      <c r="F65" s="7">
        <v>5.5009689372690804</v>
      </c>
      <c r="G65" s="7">
        <v>16.386601733088529</v>
      </c>
      <c r="H65" s="7">
        <v>29.913427447197801</v>
      </c>
      <c r="I65" s="7">
        <v>48.199001882444591</v>
      </c>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row>
    <row r="66" spans="1:62">
      <c r="A66" s="7" t="s">
        <v>68</v>
      </c>
      <c r="B66" s="7">
        <v>3.3012832984495279</v>
      </c>
      <c r="C66" s="7">
        <v>7.4399094115270792</v>
      </c>
      <c r="D66" s="7">
        <v>21.0986382727544</v>
      </c>
      <c r="E66" s="7">
        <v>68.160169017268998</v>
      </c>
      <c r="F66" s="7">
        <v>3.0002867293733209</v>
      </c>
      <c r="G66" s="7">
        <v>6.0921266668649574</v>
      </c>
      <c r="H66" s="7">
        <v>14.99860603075501</v>
      </c>
      <c r="I66" s="7">
        <v>75.908980573006701</v>
      </c>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row>
    <row r="67" spans="1:62">
      <c r="A67" s="7" t="s">
        <v>69</v>
      </c>
      <c r="B67" s="7">
        <v>2.7836420261304129</v>
      </c>
      <c r="C67" s="7">
        <v>10.98981915612227</v>
      </c>
      <c r="D67" s="7">
        <v>38.688431643062252</v>
      </c>
      <c r="E67" s="7">
        <v>47.538107174685081</v>
      </c>
      <c r="F67" s="7">
        <v>1.9267803907561381</v>
      </c>
      <c r="G67" s="7">
        <v>12.49713534600172</v>
      </c>
      <c r="H67" s="7">
        <v>37.92840879577831</v>
      </c>
      <c r="I67" s="7">
        <v>47.647675467463827</v>
      </c>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row>
    <row r="68" spans="1:62">
      <c r="A68" s="7" t="s">
        <v>70</v>
      </c>
      <c r="B68" s="7">
        <v>5.8752155477066816</v>
      </c>
      <c r="C68" s="7">
        <v>8.0664322845196264</v>
      </c>
      <c r="D68" s="7">
        <v>30.830951351222069</v>
      </c>
      <c r="E68" s="7">
        <v>55.227400816551622</v>
      </c>
      <c r="F68" s="7">
        <v>2.9968347767285932</v>
      </c>
      <c r="G68" s="7">
        <v>4.4149367914398914</v>
      </c>
      <c r="H68" s="7">
        <v>28.543150752705841</v>
      </c>
      <c r="I68" s="7">
        <v>64.045077679125697</v>
      </c>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row>
    <row r="69" spans="1:62">
      <c r="A69" s="7" t="s">
        <v>71</v>
      </c>
      <c r="B69" s="7">
        <v>7.1709477981205421</v>
      </c>
      <c r="C69" s="7">
        <v>11.19451462908777</v>
      </c>
      <c r="D69" s="7">
        <v>28.860991328883721</v>
      </c>
      <c r="E69" s="7">
        <v>52.773546243907951</v>
      </c>
      <c r="F69" s="7">
        <v>2.605674515513698</v>
      </c>
      <c r="G69" s="7">
        <v>6.1858996000770166</v>
      </c>
      <c r="H69" s="7">
        <v>21.88732529228081</v>
      </c>
      <c r="I69" s="7">
        <v>69.321100592128488</v>
      </c>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row>
    <row r="70" spans="1:62">
      <c r="A70" s="7" t="s">
        <v>72</v>
      </c>
      <c r="B70" s="7">
        <v>5.1804559532833201</v>
      </c>
      <c r="C70" s="7">
        <v>9.38553774296693</v>
      </c>
      <c r="D70" s="7">
        <v>16.945270176551091</v>
      </c>
      <c r="E70" s="7">
        <v>68.488736127198663</v>
      </c>
      <c r="F70" s="7">
        <v>3.8219443138251958</v>
      </c>
      <c r="G70" s="7">
        <v>7.7952354914685191</v>
      </c>
      <c r="H70" s="7">
        <v>8.8836752213914441</v>
      </c>
      <c r="I70" s="7">
        <v>79.499144973314856</v>
      </c>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row>
    <row r="71" spans="1:62">
      <c r="A71" s="7" t="s">
        <v>73</v>
      </c>
      <c r="B71" s="7">
        <v>3.6661248271656071</v>
      </c>
      <c r="C71" s="7">
        <v>18.755800176220031</v>
      </c>
      <c r="D71" s="7">
        <v>27.956800153623401</v>
      </c>
      <c r="E71" s="7">
        <v>49.62127484299095</v>
      </c>
      <c r="F71" s="7">
        <v>1.7015575880810769</v>
      </c>
      <c r="G71" s="7">
        <v>9.8706424972040221</v>
      </c>
      <c r="H71" s="7">
        <v>22.574435911449889</v>
      </c>
      <c r="I71" s="7">
        <v>65.853364003265014</v>
      </c>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row>
    <row r="72" spans="1:62">
      <c r="A72" s="7" t="s">
        <v>74</v>
      </c>
      <c r="B72" s="7">
        <v>7.534681323021128</v>
      </c>
      <c r="C72" s="7">
        <v>11.916424860667171</v>
      </c>
      <c r="D72" s="7">
        <v>15.716404580966721</v>
      </c>
      <c r="E72" s="7">
        <v>64.83248923534498</v>
      </c>
      <c r="F72" s="7">
        <v>2.9369687930543469</v>
      </c>
      <c r="G72" s="7">
        <v>5.5102944389921813</v>
      </c>
      <c r="H72" s="7">
        <v>14.94660964891572</v>
      </c>
      <c r="I72" s="7">
        <v>76.606127119037751</v>
      </c>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row>
    <row r="73" spans="1:62">
      <c r="A73" s="7" t="s">
        <v>75</v>
      </c>
      <c r="B73" s="7">
        <v>4.2029626048379498</v>
      </c>
      <c r="C73" s="7">
        <v>8.4740068901107914</v>
      </c>
      <c r="D73" s="7">
        <v>16.968247420117649</v>
      </c>
      <c r="E73" s="7">
        <v>70.354783084933601</v>
      </c>
      <c r="F73" s="7">
        <v>0.90899847503164843</v>
      </c>
      <c r="G73" s="7">
        <v>6.0458767135427003</v>
      </c>
      <c r="H73" s="7">
        <v>8.8648916610581896</v>
      </c>
      <c r="I73" s="7">
        <v>84.180233150367471</v>
      </c>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row>
    <row r="74" spans="1:62">
      <c r="A74" s="7" t="s">
        <v>76</v>
      </c>
      <c r="B74" s="7">
        <v>0.63306573740347349</v>
      </c>
      <c r="C74" s="7">
        <v>2.292003972515853</v>
      </c>
      <c r="D74" s="7">
        <v>12.545883819879149</v>
      </c>
      <c r="E74" s="7">
        <v>84.529046470201536</v>
      </c>
      <c r="F74" s="7">
        <v>0.24575225310070331</v>
      </c>
      <c r="G74" s="7">
        <v>0.96142773871786824</v>
      </c>
      <c r="H74" s="7">
        <v>7.6574575549540338</v>
      </c>
      <c r="I74" s="7">
        <v>91.135362453227401</v>
      </c>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row>
    <row r="75" spans="1:62">
      <c r="A75" s="7" t="s">
        <v>77</v>
      </c>
      <c r="B75" s="7">
        <v>2.392194521330461</v>
      </c>
      <c r="C75" s="7">
        <v>5.3892840700605378</v>
      </c>
      <c r="D75" s="7">
        <v>28.87236954448208</v>
      </c>
      <c r="E75" s="7">
        <v>63.346151864126909</v>
      </c>
      <c r="F75" s="7">
        <v>0.57708568420973294</v>
      </c>
      <c r="G75" s="7">
        <v>3.0097450136175929</v>
      </c>
      <c r="H75" s="7">
        <v>25.99732461420173</v>
      </c>
      <c r="I75" s="7">
        <v>70.415844687970946</v>
      </c>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row>
    <row r="76" spans="1:62">
      <c r="A76" s="7" t="s">
        <v>78</v>
      </c>
      <c r="B76" s="7">
        <v>2.7250018981226529</v>
      </c>
      <c r="C76" s="7">
        <v>4.8086282861074006</v>
      </c>
      <c r="D76" s="7">
        <v>26.73252619225827</v>
      </c>
      <c r="E76" s="7">
        <v>65.733843623511675</v>
      </c>
      <c r="F76" s="7">
        <v>0.57179027852879272</v>
      </c>
      <c r="G76" s="7">
        <v>2.6548336927213918</v>
      </c>
      <c r="H76" s="7">
        <v>17.738319223462181</v>
      </c>
      <c r="I76" s="7">
        <v>79.035056805287624</v>
      </c>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row>
    <row r="77" spans="1:62">
      <c r="A77" s="7" t="s">
        <v>79</v>
      </c>
      <c r="B77" s="7">
        <v>4.8167351534197476</v>
      </c>
      <c r="C77" s="7">
        <v>15.37864174509723</v>
      </c>
      <c r="D77" s="7">
        <v>25.85718291113896</v>
      </c>
      <c r="E77" s="7">
        <v>53.947440190344068</v>
      </c>
      <c r="F77" s="7">
        <v>2.152794926784543</v>
      </c>
      <c r="G77" s="7">
        <v>9.4282660256526825</v>
      </c>
      <c r="H77" s="7">
        <v>17.930497149428721</v>
      </c>
      <c r="I77" s="7">
        <v>70.488441898134056</v>
      </c>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row>
    <row r="78" spans="1:62">
      <c r="A78" s="7" t="s">
        <v>80</v>
      </c>
      <c r="B78" s="7">
        <v>5.6638408795104409</v>
      </c>
      <c r="C78" s="7">
        <v>9.3937605566967868</v>
      </c>
      <c r="D78" s="7">
        <v>27.535515683097749</v>
      </c>
      <c r="E78" s="7">
        <v>57.406882880695029</v>
      </c>
      <c r="F78" s="7">
        <v>2.0146661189217432</v>
      </c>
      <c r="G78" s="7">
        <v>5.2371575789036644</v>
      </c>
      <c r="H78" s="7">
        <v>19.40750308489195</v>
      </c>
      <c r="I78" s="7">
        <v>73.340673217282657</v>
      </c>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row>
    <row r="79" spans="1:62">
      <c r="A79" s="7" t="s">
        <v>81</v>
      </c>
      <c r="B79" s="7">
        <v>1.889671994701249</v>
      </c>
      <c r="C79" s="7">
        <v>5.4016178651326383</v>
      </c>
      <c r="D79" s="7">
        <v>19.5613750226577</v>
      </c>
      <c r="E79" s="7">
        <v>73.147335117508419</v>
      </c>
      <c r="F79" s="7">
        <v>0.97267171675937458</v>
      </c>
      <c r="G79" s="7">
        <v>3.3750275075545502</v>
      </c>
      <c r="H79" s="7">
        <v>12.695882337652259</v>
      </c>
      <c r="I79" s="7">
        <v>82.956418438033808</v>
      </c>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row>
    <row r="80" spans="1:62">
      <c r="A80" s="7" t="s">
        <v>82</v>
      </c>
      <c r="B80" s="7">
        <v>1.905845014155559</v>
      </c>
      <c r="C80" s="7">
        <v>5.7314347985079559</v>
      </c>
      <c r="D80" s="7">
        <v>26.484264589982271</v>
      </c>
      <c r="E80" s="7">
        <v>65.878455597354218</v>
      </c>
      <c r="F80" s="7">
        <v>0.94529399739432773</v>
      </c>
      <c r="G80" s="7">
        <v>5.1048639345752846</v>
      </c>
      <c r="H80" s="7">
        <v>27.92349536075189</v>
      </c>
      <c r="I80" s="7">
        <v>66.026346707278478</v>
      </c>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row>
    <row r="81" spans="1:6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row>
    <row r="82" spans="1:6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row>
    <row r="83" spans="1:6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row>
    <row r="84" spans="1:6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row>
    <row r="85" spans="1:6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row>
    <row r="86" spans="1:6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row>
    <row r="87" spans="1:6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row>
    <row r="88" spans="1:6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row>
    <row r="89" spans="1:6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row>
    <row r="90" spans="1:6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row>
    <row r="91" spans="1:6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row>
    <row r="92" spans="1:6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row>
    <row r="93" spans="1:6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row>
    <row r="94" spans="1:6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row>
    <row r="95" spans="1:6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row>
    <row r="96" spans="1:6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row>
    <row r="97" spans="1:6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row>
    <row r="98" spans="1:6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row>
    <row r="99" spans="1:6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row>
    <row r="100" spans="1:6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row>
    <row r="101" spans="1:6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row>
    <row r="102" spans="1:6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row>
    <row r="103" spans="1:6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row>
    <row r="104" spans="1:6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row>
    <row r="105" spans="1:6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row>
    <row r="106" spans="1:6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row>
    <row r="107" spans="1:6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row>
    <row r="108" spans="1:6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row>
    <row r="109" spans="1:6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row>
    <row r="110" spans="1:6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row>
    <row r="111" spans="1:6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row>
    <row r="112" spans="1:6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row>
    <row r="113" spans="1:6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row>
    <row r="114" spans="1:6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row>
    <row r="115" spans="1:6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row>
    <row r="116" spans="1:6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row>
    <row r="117" spans="1:6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row>
    <row r="118" spans="1:6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row>
    <row r="119" spans="1:6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row>
    <row r="120" spans="1:6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row>
    <row r="121" spans="1:6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row>
    <row r="122" spans="1:6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row>
    <row r="123" spans="1:6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row>
    <row r="124" spans="1:6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row>
    <row r="125" spans="1:6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row>
    <row r="126" spans="1:6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row>
    <row r="127" spans="1:6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row>
    <row r="128" spans="1:6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row>
    <row r="129" spans="1:6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row>
    <row r="130" spans="1:6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row>
    <row r="131" spans="1:6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row>
    <row r="132" spans="1:6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row>
    <row r="133" spans="1:6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row>
    <row r="134" spans="1:6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row>
    <row r="135" spans="1:6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row>
    <row r="136" spans="1:6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row>
    <row r="137" spans="1:6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row>
    <row r="138" spans="1:6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row>
    <row r="139" spans="1:6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row>
    <row r="140" spans="1:6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row>
    <row r="141" spans="1:6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row>
    <row r="142" spans="1:6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row>
    <row r="143" spans="1:6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row>
    <row r="144" spans="1:6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row>
    <row r="145" spans="1:6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row>
    <row r="146" spans="1:6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row>
    <row r="147" spans="1:6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row>
    <row r="148" spans="1:6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row>
    <row r="149" spans="1:6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row>
    <row r="150" spans="1:6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row>
    <row r="151" spans="1:6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row>
    <row r="152" spans="1:6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row>
    <row r="153" spans="1:6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row>
    <row r="154" spans="1:6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row>
    <row r="155" spans="1:6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row>
    <row r="156" spans="1:6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row>
    <row r="157" spans="1:6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row>
    <row r="158" spans="1:6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row>
    <row r="159" spans="1:6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row>
    <row r="160" spans="1:6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row>
    <row r="161" spans="1:6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row>
    <row r="162" spans="1:6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row>
    <row r="163" spans="1:6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row>
    <row r="164" spans="1:6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row>
    <row r="165" spans="1:6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row>
    <row r="166" spans="1:6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row>
    <row r="167" spans="1:6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row>
    <row r="168" spans="1:6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row>
    <row r="169" spans="1:6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row>
    <row r="170" spans="1:6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row>
    <row r="171" spans="1:6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row>
    <row r="172" spans="1:6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row>
    <row r="173" spans="1:6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row>
    <row r="174" spans="1:6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row>
    <row r="175" spans="1:6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row>
    <row r="176" spans="1:6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row>
    <row r="177" spans="1:6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row>
    <row r="178" spans="1:6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row>
    <row r="179" spans="1:6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row>
    <row r="180" spans="1:6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row>
    <row r="181" spans="1:6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row>
    <row r="182" spans="1:6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row>
    <row r="183" spans="1:6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row>
    <row r="184" spans="1:6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row>
    <row r="185" spans="1:6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row>
    <row r="186" spans="1:6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row>
    <row r="187" spans="1:6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row>
    <row r="188" spans="1:6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row>
    <row r="189" spans="1:6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row>
    <row r="190" spans="1:6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row>
    <row r="191" spans="1:6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row>
    <row r="192" spans="1:6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row>
    <row r="193" spans="1:6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row>
    <row r="194" spans="1:6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row>
    <row r="195" spans="1:6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row>
    <row r="196" spans="1:6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row>
    <row r="197" spans="1:6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row>
    <row r="198" spans="1:6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row>
    <row r="199" spans="1:6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row>
    <row r="200" spans="1:6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row>
    <row r="201" spans="1:6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row>
    <row r="202" spans="1:6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row>
    <row r="203" spans="1:6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row>
    <row r="204" spans="1:6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row>
    <row r="205" spans="1:6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row>
    <row r="206" spans="1:6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row>
    <row r="207" spans="1:6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row>
    <row r="208" spans="1:6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row>
    <row r="209" spans="1:6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row>
    <row r="210" spans="1:6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row>
    <row r="211" spans="1:6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row>
    <row r="212" spans="1:6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row>
    <row r="213" spans="1:6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row>
    <row r="214" spans="1:6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row>
    <row r="215" spans="1:6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row>
    <row r="216" spans="1:6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row>
    <row r="217" spans="1:6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row>
    <row r="218" spans="1:6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row>
    <row r="219" spans="1:6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row>
    <row r="220" spans="1:6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row>
    <row r="221" spans="1:6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row>
    <row r="222" spans="1:6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row>
    <row r="223" spans="1:6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row>
    <row r="224" spans="1:6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row>
    <row r="225" spans="1:6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row>
    <row r="226" spans="1:6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row>
    <row r="227" spans="1:6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row>
    <row r="228" spans="1:6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row>
    <row r="229" spans="1:6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row>
    <row r="230" spans="1:6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row>
    <row r="231" spans="1:6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row>
    <row r="232" spans="1:6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row>
    <row r="233" spans="1:6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row>
    <row r="234" spans="1:6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row>
    <row r="235" spans="1:6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row>
    <row r="236" spans="1:6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row>
    <row r="237" spans="1:6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row>
    <row r="238" spans="1:6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row>
    <row r="239" spans="1:6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row>
    <row r="240" spans="1:6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row>
    <row r="241" spans="1:6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row>
    <row r="242" spans="1:6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row>
    <row r="243" spans="1:6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row>
    <row r="244" spans="1:6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row>
    <row r="245" spans="1:6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row>
    <row r="246" spans="1:6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row>
    <row r="247" spans="1:6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row>
    <row r="248" spans="1:6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row>
    <row r="249" spans="1:6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row>
    <row r="250" spans="1:6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row>
    <row r="251" spans="1:6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row>
    <row r="252" spans="1:6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row>
    <row r="253" spans="1:6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row>
    <row r="254" spans="1:6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row>
    <row r="255" spans="1:6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row>
    <row r="256" spans="1:6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row>
    <row r="257" spans="1:6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row>
    <row r="258" spans="1:6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row>
    <row r="259" spans="1:6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row>
    <row r="260" spans="1:6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row>
    <row r="261" spans="1:6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row>
    <row r="262" spans="1:6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row>
    <row r="263" spans="1:6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row>
    <row r="264" spans="1:6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row>
    <row r="265" spans="1:6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row>
    <row r="266" spans="1:6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row>
    <row r="267" spans="1:6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row>
    <row r="268" spans="1:6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row>
    <row r="269" spans="1:6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row>
    <row r="270" spans="1:6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row>
    <row r="271" spans="1:6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row>
    <row r="272" spans="1:6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row>
    <row r="273" spans="1:6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row>
    <row r="274" spans="1:6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row>
    <row r="275" spans="1:6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row>
    <row r="276" spans="1:6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row>
    <row r="277" spans="1:6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row>
    <row r="278" spans="1:6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row>
    <row r="279" spans="1:6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row>
    <row r="280" spans="1:6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row>
    <row r="281" spans="1:6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row>
    <row r="282" spans="1:6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row>
    <row r="283" spans="1:6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row>
    <row r="284" spans="1:6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row>
    <row r="285" spans="1:6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row>
    <row r="286" spans="1:6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row>
    <row r="287" spans="1:6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row>
    <row r="288" spans="1:6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row>
    <row r="289" spans="1:6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row>
    <row r="290" spans="1:6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row>
    <row r="291" spans="1:6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row>
    <row r="292" spans="1:6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row>
    <row r="293" spans="1:6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row>
    <row r="294" spans="1:6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row>
    <row r="295" spans="1:6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row>
    <row r="296" spans="1:6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row>
    <row r="297" spans="1:6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row>
    <row r="298" spans="1:6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row>
    <row r="299" spans="1:6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row>
    <row r="300" spans="1:6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row>
    <row r="301" spans="1:6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row>
    <row r="302" spans="1:6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row>
    <row r="303" spans="1:6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row>
    <row r="304" spans="1:6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row>
    <row r="305" spans="1:6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row>
    <row r="306" spans="1:6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row>
    <row r="307" spans="1:6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row>
    <row r="308" spans="1:6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row>
    <row r="309" spans="1:6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row>
    <row r="310" spans="1:6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row>
    <row r="311" spans="1:6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row>
    <row r="312" spans="1:6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row>
    <row r="313" spans="1:6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row>
    <row r="314" spans="1:6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row>
    <row r="315" spans="1:6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row>
    <row r="316" spans="1:6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row>
    <row r="317" spans="1:6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row>
    <row r="318" spans="1:6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row>
    <row r="319" spans="1:6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row>
    <row r="320" spans="1:6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row>
    <row r="321" spans="1:6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row>
    <row r="322" spans="1:6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row>
    <row r="323" spans="1:6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row>
    <row r="324" spans="1:6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row>
    <row r="325" spans="1:6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row>
    <row r="326" spans="1:6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row>
    <row r="327" spans="1:6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row>
    <row r="328" spans="1:6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row>
    <row r="329" spans="1:6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row>
    <row r="330" spans="1:6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row>
    <row r="331" spans="1:6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row>
    <row r="332" spans="1:6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row>
    <row r="333" spans="1:6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row>
    <row r="334" spans="1:6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row>
    <row r="335" spans="1:6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row>
    <row r="336" spans="1:6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row>
    <row r="337" spans="1:6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row>
    <row r="338" spans="1:6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row>
    <row r="339" spans="1:6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row>
    <row r="340" spans="1:6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row>
    <row r="341" spans="1:6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row>
    <row r="342" spans="1:6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row>
    <row r="343" spans="1:6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row>
    <row r="344" spans="1:6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row>
    <row r="345" spans="1:6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row>
    <row r="346" spans="1:6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row>
    <row r="347" spans="1:6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row>
    <row r="348" spans="1:6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row>
    <row r="349" spans="1:6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row>
  </sheetData>
  <mergeCells count="2">
    <mergeCell ref="B1:E1"/>
    <mergeCell ref="F1:I1"/>
  </mergeCells>
  <pageMargins left="0.7" right="0.7" top="0.75" bottom="0.75" header="0.3" footer="0.3"/>
  <drawing r:id="rId1"/>
  <legacyDrawing r:id="rId2"/>
  <controls>
    <mc:AlternateContent xmlns:mc="http://schemas.openxmlformats.org/markup-compatibility/2006">
      <mc:Choice Requires="x14">
        <control shapeId="10241" r:id="rId3" name="ListBox1">
          <controlPr locked="0" defaultSize="0" autoLine="0" autoPict="0" linkedCell="P4" listFillRange="ÜLKELERWP" r:id="rId4">
            <anchor moveWithCells="1">
              <from>
                <xdr:col>8</xdr:col>
                <xdr:colOff>594360</xdr:colOff>
                <xdr:row>0</xdr:row>
                <xdr:rowOff>0</xdr:rowOff>
              </from>
              <to>
                <xdr:col>12</xdr:col>
                <xdr:colOff>335280</xdr:colOff>
                <xdr:row>31</xdr:row>
                <xdr:rowOff>45720</xdr:rowOff>
              </to>
            </anchor>
          </controlPr>
        </control>
      </mc:Choice>
      <mc:Fallback>
        <control shapeId="10241" r:id="rId3" name="ListBox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A4E5A-0FB3-4C31-B327-F8CDACB89899}">
  <dimension ref="A1:CX349"/>
  <sheetViews>
    <sheetView zoomScale="55" zoomScaleNormal="55" workbookViewId="0"/>
  </sheetViews>
  <sheetFormatPr defaultRowHeight="14.4"/>
  <cols>
    <col min="2" max="2" width="22.33203125" bestFit="1" customWidth="1"/>
    <col min="34" max="34" width="8.88671875" customWidth="1"/>
  </cols>
  <sheetData>
    <row r="1" spans="1:102">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row>
    <row r="2" spans="1:102">
      <c r="A2" s="1"/>
      <c r="B2" s="186" t="s">
        <v>136</v>
      </c>
      <c r="C2" s="186"/>
      <c r="D2" s="186"/>
      <c r="E2" s="186"/>
      <c r="F2" s="186"/>
      <c r="G2" s="186"/>
      <c r="H2" s="186"/>
      <c r="I2" s="1"/>
      <c r="J2" s="1"/>
      <c r="K2" s="1"/>
      <c r="L2" s="1"/>
      <c r="M2" s="1"/>
      <c r="N2" s="1"/>
      <c r="O2" s="1"/>
      <c r="P2" s="186" t="s">
        <v>264</v>
      </c>
      <c r="Q2" s="186"/>
      <c r="R2" s="186"/>
      <c r="S2" s="186"/>
      <c r="T2" s="186"/>
      <c r="U2" s="186"/>
      <c r="V2" s="186"/>
      <c r="W2" s="186"/>
      <c r="X2" s="186"/>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row>
    <row r="3" spans="1:102" ht="24">
      <c r="A3" s="1"/>
      <c r="B3" s="187" t="s">
        <v>84</v>
      </c>
      <c r="C3" s="187"/>
      <c r="D3" s="80" t="s">
        <v>137</v>
      </c>
      <c r="E3" s="81" t="s">
        <v>138</v>
      </c>
      <c r="F3" s="81" t="s">
        <v>139</v>
      </c>
      <c r="G3" s="81" t="s">
        <v>140</v>
      </c>
      <c r="H3" s="112" t="s">
        <v>141</v>
      </c>
      <c r="I3" s="1"/>
      <c r="J3" s="1"/>
      <c r="K3" s="1"/>
      <c r="L3" s="1"/>
      <c r="M3" s="1"/>
      <c r="N3" s="1"/>
      <c r="O3" s="1"/>
      <c r="P3" s="194" t="s">
        <v>84</v>
      </c>
      <c r="Q3" s="194"/>
      <c r="R3" s="195" t="s">
        <v>265</v>
      </c>
      <c r="S3" s="191"/>
      <c r="T3" s="191" t="s">
        <v>266</v>
      </c>
      <c r="U3" s="191"/>
      <c r="V3" s="191"/>
      <c r="W3" s="191"/>
      <c r="X3" s="19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row>
    <row r="4" spans="1:102" ht="22.8">
      <c r="A4" s="1"/>
      <c r="B4" s="188" t="s">
        <v>4</v>
      </c>
      <c r="C4" s="82" t="s">
        <v>142</v>
      </c>
      <c r="D4" s="83">
        <v>4942.2399999999989</v>
      </c>
      <c r="E4" s="84">
        <v>3</v>
      </c>
      <c r="F4" s="85">
        <v>1647.413333333333</v>
      </c>
      <c r="G4" s="85">
        <v>98.353034825870495</v>
      </c>
      <c r="H4" s="86">
        <v>3.3393481075073969E-4</v>
      </c>
      <c r="I4" s="1"/>
      <c r="J4" s="1"/>
      <c r="K4" s="1"/>
      <c r="L4" s="1"/>
      <c r="M4" s="1"/>
      <c r="N4" s="1"/>
      <c r="O4" s="1"/>
      <c r="P4" s="194"/>
      <c r="Q4" s="194"/>
      <c r="R4" s="195" t="s">
        <v>140</v>
      </c>
      <c r="S4" s="191" t="s">
        <v>141</v>
      </c>
      <c r="T4" s="191" t="s">
        <v>163</v>
      </c>
      <c r="U4" s="191" t="s">
        <v>138</v>
      </c>
      <c r="V4" s="189" t="s">
        <v>157</v>
      </c>
      <c r="W4" s="191" t="s">
        <v>267</v>
      </c>
      <c r="X4" s="191" t="s">
        <v>268</v>
      </c>
      <c r="Y4" s="1"/>
      <c r="Z4" s="197" t="s">
        <v>264</v>
      </c>
      <c r="AA4" s="197"/>
      <c r="AB4" s="197"/>
      <c r="AC4" s="197"/>
      <c r="AD4" s="197"/>
      <c r="AE4" s="197"/>
      <c r="AF4" s="197"/>
      <c r="AG4" s="197"/>
      <c r="AH4" s="197"/>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row>
    <row r="5" spans="1:102" ht="24">
      <c r="A5" s="1"/>
      <c r="B5" s="185"/>
      <c r="C5" s="87" t="s">
        <v>143</v>
      </c>
      <c r="D5" s="88">
        <v>67.000000000000085</v>
      </c>
      <c r="E5" s="89">
        <v>4</v>
      </c>
      <c r="F5" s="90">
        <v>16.750000000000021</v>
      </c>
      <c r="G5" s="91"/>
      <c r="H5" s="92"/>
      <c r="I5" s="1"/>
      <c r="J5" s="1"/>
      <c r="K5" s="1"/>
      <c r="L5" s="1"/>
      <c r="M5" s="1"/>
      <c r="N5" s="1"/>
      <c r="O5" s="1"/>
      <c r="P5" s="187"/>
      <c r="Q5" s="187"/>
      <c r="R5" s="196"/>
      <c r="S5" s="192"/>
      <c r="T5" s="192"/>
      <c r="U5" s="192"/>
      <c r="V5" s="190"/>
      <c r="W5" s="192"/>
      <c r="X5" s="192"/>
      <c r="Y5" s="1"/>
      <c r="Z5" s="198" t="s">
        <v>84</v>
      </c>
      <c r="AA5" s="198"/>
      <c r="AB5" s="200" t="s">
        <v>265</v>
      </c>
      <c r="AC5" s="201"/>
      <c r="AD5" s="201" t="s">
        <v>266</v>
      </c>
      <c r="AE5" s="201"/>
      <c r="AF5" s="201"/>
      <c r="AG5" s="201"/>
      <c r="AH5" s="20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row>
    <row r="6" spans="1:102" ht="34.200000000000003">
      <c r="A6" s="1"/>
      <c r="B6" s="184"/>
      <c r="C6" s="93" t="s">
        <v>144</v>
      </c>
      <c r="D6" s="94">
        <v>5009.2399999999989</v>
      </c>
      <c r="E6" s="95">
        <v>7</v>
      </c>
      <c r="F6" s="96"/>
      <c r="G6" s="96"/>
      <c r="H6" s="97"/>
      <c r="I6" s="1"/>
      <c r="J6" s="1"/>
      <c r="K6" s="1"/>
      <c r="L6" s="1"/>
      <c r="M6" s="1"/>
      <c r="N6" s="1"/>
      <c r="O6" s="1"/>
      <c r="P6" s="188" t="s">
        <v>4</v>
      </c>
      <c r="Q6" s="82" t="s">
        <v>269</v>
      </c>
      <c r="R6" s="83">
        <v>0.10210033824154906</v>
      </c>
      <c r="S6" s="85">
        <v>0.76015639165038018</v>
      </c>
      <c r="T6" s="85">
        <v>0</v>
      </c>
      <c r="U6" s="84">
        <v>6</v>
      </c>
      <c r="V6" s="85">
        <v>1</v>
      </c>
      <c r="W6" s="104">
        <v>0</v>
      </c>
      <c r="X6" s="104">
        <v>20.431266888440046</v>
      </c>
      <c r="Y6" s="1"/>
      <c r="Z6" s="198"/>
      <c r="AA6" s="198"/>
      <c r="AB6" s="200" t="s">
        <v>140</v>
      </c>
      <c r="AC6" s="201" t="s">
        <v>141</v>
      </c>
      <c r="AD6" s="201" t="s">
        <v>163</v>
      </c>
      <c r="AE6" s="201" t="s">
        <v>138</v>
      </c>
      <c r="AF6" s="201" t="s">
        <v>157</v>
      </c>
      <c r="AG6" s="201" t="s">
        <v>267</v>
      </c>
      <c r="AH6" s="201" t="s">
        <v>268</v>
      </c>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row>
    <row r="7" spans="1:102" ht="45.6">
      <c r="A7" s="1"/>
      <c r="B7" s="184" t="s">
        <v>5</v>
      </c>
      <c r="C7" s="87" t="s">
        <v>142</v>
      </c>
      <c r="D7" s="88">
        <v>9178.5737500000014</v>
      </c>
      <c r="E7" s="89">
        <v>3</v>
      </c>
      <c r="F7" s="90">
        <v>3059.5245833333338</v>
      </c>
      <c r="G7" s="90">
        <v>93.012337703464439</v>
      </c>
      <c r="H7" s="98">
        <v>3.7271648296859983E-4</v>
      </c>
      <c r="I7" s="1"/>
      <c r="J7" s="1"/>
      <c r="K7" s="1"/>
      <c r="L7" s="1"/>
      <c r="M7" s="1"/>
      <c r="N7" s="1"/>
      <c r="O7" s="1"/>
      <c r="P7" s="184"/>
      <c r="Q7" s="93" t="s">
        <v>270</v>
      </c>
      <c r="R7" s="105"/>
      <c r="S7" s="96"/>
      <c r="T7" s="106">
        <v>0</v>
      </c>
      <c r="U7" s="106">
        <v>5.8003459297368529</v>
      </c>
      <c r="V7" s="106">
        <v>1</v>
      </c>
      <c r="W7" s="107">
        <v>0</v>
      </c>
      <c r="X7" s="107">
        <v>20.431266888440046</v>
      </c>
      <c r="Y7" s="1"/>
      <c r="Z7" s="199"/>
      <c r="AA7" s="199"/>
      <c r="AB7" s="202"/>
      <c r="AC7" s="203"/>
      <c r="AD7" s="203"/>
      <c r="AE7" s="203"/>
      <c r="AF7" s="203"/>
      <c r="AG7" s="203"/>
      <c r="AH7" s="203"/>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row>
    <row r="8" spans="1:102" ht="34.200000000000003">
      <c r="A8" s="1"/>
      <c r="B8" s="185"/>
      <c r="C8" s="87" t="s">
        <v>143</v>
      </c>
      <c r="D8" s="88">
        <v>131.57500000000002</v>
      </c>
      <c r="E8" s="89">
        <v>4</v>
      </c>
      <c r="F8" s="90">
        <v>32.893750000000004</v>
      </c>
      <c r="G8" s="91"/>
      <c r="H8" s="92"/>
      <c r="I8" s="1"/>
      <c r="J8" s="1"/>
      <c r="K8" s="1"/>
      <c r="L8" s="1"/>
      <c r="M8" s="1"/>
      <c r="N8" s="1"/>
      <c r="O8" s="1"/>
      <c r="P8" s="184" t="s">
        <v>5</v>
      </c>
      <c r="Q8" s="87" t="s">
        <v>269</v>
      </c>
      <c r="R8" s="88">
        <v>0.21821690868281973</v>
      </c>
      <c r="S8" s="90">
        <v>0.65688413258281697</v>
      </c>
      <c r="T8" s="90">
        <v>8.975369793049197E-4</v>
      </c>
      <c r="U8" s="89">
        <v>6</v>
      </c>
      <c r="V8" s="90">
        <v>0.99931296647493628</v>
      </c>
      <c r="W8" s="108">
        <v>2.4999999999998579E-2</v>
      </c>
      <c r="X8" s="108">
        <v>27.854005546779085</v>
      </c>
      <c r="Y8" s="1"/>
      <c r="Z8" s="204" t="s">
        <v>6</v>
      </c>
      <c r="AA8" s="113" t="s">
        <v>269</v>
      </c>
      <c r="AB8" s="114"/>
      <c r="AC8" s="115"/>
      <c r="AD8" s="116">
        <v>-2.3852108437684851</v>
      </c>
      <c r="AE8" s="117">
        <v>2</v>
      </c>
      <c r="AF8" s="116">
        <v>0.139827948382794</v>
      </c>
      <c r="AG8" s="118">
        <v>-2.15</v>
      </c>
      <c r="AH8" s="118">
        <v>0.90138781886599739</v>
      </c>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row>
    <row r="9" spans="1:102" ht="45.6">
      <c r="A9" s="1"/>
      <c r="B9" s="184"/>
      <c r="C9" s="93" t="s">
        <v>144</v>
      </c>
      <c r="D9" s="94">
        <v>9310.1487500000021</v>
      </c>
      <c r="E9" s="95">
        <v>7</v>
      </c>
      <c r="F9" s="96"/>
      <c r="G9" s="96"/>
      <c r="H9" s="97"/>
      <c r="I9" s="1"/>
      <c r="J9" s="1"/>
      <c r="K9" s="1"/>
      <c r="L9" s="1"/>
      <c r="M9" s="1"/>
      <c r="N9" s="1"/>
      <c r="O9" s="1"/>
      <c r="P9" s="184"/>
      <c r="Q9" s="93" t="s">
        <v>270</v>
      </c>
      <c r="R9" s="105"/>
      <c r="S9" s="96"/>
      <c r="T9" s="106">
        <v>8.975369793049197E-4</v>
      </c>
      <c r="U9" s="106">
        <v>5.7374984247374368</v>
      </c>
      <c r="V9" s="106">
        <v>0.99931425693227593</v>
      </c>
      <c r="W9" s="107">
        <v>2.4999999999998579E-2</v>
      </c>
      <c r="X9" s="107">
        <v>27.854005546779085</v>
      </c>
      <c r="Y9" s="1"/>
      <c r="Z9" s="205"/>
      <c r="AA9" s="119" t="s">
        <v>270</v>
      </c>
      <c r="AB9" s="120"/>
      <c r="AC9" s="121"/>
      <c r="AD9" s="122">
        <v>-2.3852108437684851</v>
      </c>
      <c r="AE9" s="122">
        <v>1.245328177134301</v>
      </c>
      <c r="AF9" s="122">
        <v>0.21136699850846086</v>
      </c>
      <c r="AG9" s="123">
        <v>-2.15</v>
      </c>
      <c r="AH9" s="123">
        <v>0.90138781886599739</v>
      </c>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row>
    <row r="10" spans="1:102" ht="34.200000000000003">
      <c r="A10" s="1"/>
      <c r="B10" s="184" t="s">
        <v>6</v>
      </c>
      <c r="C10" s="87" t="s">
        <v>142</v>
      </c>
      <c r="D10" s="88">
        <v>9306.1899999999987</v>
      </c>
      <c r="E10" s="89">
        <v>3</v>
      </c>
      <c r="F10" s="90">
        <v>3102.063333333333</v>
      </c>
      <c r="G10" s="90">
        <v>152.67938148558304</v>
      </c>
      <c r="H10" s="98">
        <v>1.4012268861367236E-4</v>
      </c>
      <c r="I10" s="1"/>
      <c r="J10" s="1"/>
      <c r="K10" s="1"/>
      <c r="L10" s="1"/>
      <c r="M10" s="1"/>
      <c r="N10" s="1"/>
      <c r="O10" s="1"/>
      <c r="P10" s="184" t="s">
        <v>6</v>
      </c>
      <c r="Q10" s="87" t="s">
        <v>269</v>
      </c>
      <c r="R10" s="88">
        <v>0.12033887426994416</v>
      </c>
      <c r="S10" s="90">
        <v>0.7405102990453637</v>
      </c>
      <c r="T10" s="90">
        <v>0</v>
      </c>
      <c r="U10" s="89">
        <v>6</v>
      </c>
      <c r="V10" s="90">
        <v>1</v>
      </c>
      <c r="W10" s="108">
        <v>0</v>
      </c>
      <c r="X10" s="108">
        <v>27.969417822567085</v>
      </c>
      <c r="Y10" s="1"/>
      <c r="Z10" s="205" t="s">
        <v>9</v>
      </c>
      <c r="AA10" s="124" t="s">
        <v>269</v>
      </c>
      <c r="AB10" s="125"/>
      <c r="AC10" s="126"/>
      <c r="AD10" s="127">
        <v>-3.6214013223099082</v>
      </c>
      <c r="AE10" s="128">
        <v>2</v>
      </c>
      <c r="AF10" s="127">
        <v>6.8508105008008524E-2</v>
      </c>
      <c r="AG10" s="129">
        <v>-5.3500000000000005</v>
      </c>
      <c r="AH10" s="129">
        <v>1.4773286702694157</v>
      </c>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row>
    <row r="11" spans="1:102" ht="45.6">
      <c r="A11" s="1"/>
      <c r="B11" s="185"/>
      <c r="C11" s="87" t="s">
        <v>143</v>
      </c>
      <c r="D11" s="88">
        <v>81.27</v>
      </c>
      <c r="E11" s="89">
        <v>4</v>
      </c>
      <c r="F11" s="90">
        <v>20.317499999999999</v>
      </c>
      <c r="G11" s="91"/>
      <c r="H11" s="92"/>
      <c r="I11" s="1"/>
      <c r="J11" s="1"/>
      <c r="K11" s="1"/>
      <c r="L11" s="1"/>
      <c r="M11" s="1"/>
      <c r="N11" s="1"/>
      <c r="O11" s="1"/>
      <c r="P11" s="184"/>
      <c r="Q11" s="93" t="s">
        <v>270</v>
      </c>
      <c r="R11" s="105"/>
      <c r="S11" s="96"/>
      <c r="T11" s="106">
        <v>0</v>
      </c>
      <c r="U11" s="106">
        <v>5.8587850058268485</v>
      </c>
      <c r="V11" s="106">
        <v>1</v>
      </c>
      <c r="W11" s="107">
        <v>0</v>
      </c>
      <c r="X11" s="107">
        <v>27.969417822567085</v>
      </c>
      <c r="Y11" s="1"/>
      <c r="Z11" s="206"/>
      <c r="AA11" s="130" t="s">
        <v>270</v>
      </c>
      <c r="AB11" s="131"/>
      <c r="AC11" s="132"/>
      <c r="AD11" s="133">
        <v>-3.6214013223099082</v>
      </c>
      <c r="AE11" s="133">
        <v>1.3802259058236759</v>
      </c>
      <c r="AF11" s="133">
        <v>0.1153649400674277</v>
      </c>
      <c r="AG11" s="134">
        <v>-5.3500000000000005</v>
      </c>
      <c r="AH11" s="134">
        <v>1.4773286702694157</v>
      </c>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row>
    <row r="12" spans="1:102" ht="34.200000000000003">
      <c r="A12" s="1"/>
      <c r="B12" s="184"/>
      <c r="C12" s="93" t="s">
        <v>144</v>
      </c>
      <c r="D12" s="94">
        <v>9387.4599999999991</v>
      </c>
      <c r="E12" s="95">
        <v>7</v>
      </c>
      <c r="F12" s="96"/>
      <c r="G12" s="96"/>
      <c r="H12" s="97"/>
      <c r="I12" s="1"/>
      <c r="J12" s="1"/>
      <c r="K12" s="1"/>
      <c r="L12" s="1"/>
      <c r="M12" s="1"/>
      <c r="N12" s="1"/>
      <c r="O12" s="1"/>
      <c r="P12" s="184" t="s">
        <v>7</v>
      </c>
      <c r="Q12" s="87" t="s">
        <v>269</v>
      </c>
      <c r="R12" s="88">
        <v>0.14132780315556431</v>
      </c>
      <c r="S12" s="90">
        <v>0.71989801512080231</v>
      </c>
      <c r="T12" s="90">
        <v>0</v>
      </c>
      <c r="U12" s="89">
        <v>6</v>
      </c>
      <c r="V12" s="90">
        <v>1</v>
      </c>
      <c r="W12" s="108">
        <v>0</v>
      </c>
      <c r="X12" s="108">
        <v>19.843680774157466</v>
      </c>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row>
    <row r="13" spans="1:102" ht="45.6">
      <c r="A13" s="1"/>
      <c r="B13" s="184" t="s">
        <v>7</v>
      </c>
      <c r="C13" s="87" t="s">
        <v>142</v>
      </c>
      <c r="D13" s="88">
        <v>4653.67</v>
      </c>
      <c r="E13" s="89">
        <v>3</v>
      </c>
      <c r="F13" s="90">
        <v>1551.2233333333334</v>
      </c>
      <c r="G13" s="90">
        <v>86.672626530707262</v>
      </c>
      <c r="H13" s="98">
        <v>4.2820275977166917E-4</v>
      </c>
      <c r="I13" s="1"/>
      <c r="J13" s="1"/>
      <c r="K13" s="1"/>
      <c r="L13" s="1"/>
      <c r="M13" s="1"/>
      <c r="N13" s="1"/>
      <c r="O13" s="1"/>
      <c r="P13" s="184"/>
      <c r="Q13" s="93" t="s">
        <v>270</v>
      </c>
      <c r="R13" s="105"/>
      <c r="S13" s="96"/>
      <c r="T13" s="106">
        <v>0</v>
      </c>
      <c r="U13" s="106">
        <v>5.7645479953833325</v>
      </c>
      <c r="V13" s="106">
        <v>1</v>
      </c>
      <c r="W13" s="107">
        <v>0</v>
      </c>
      <c r="X13" s="107">
        <v>19.843680774157466</v>
      </c>
      <c r="Y13" s="1"/>
      <c r="Z13" s="197" t="s">
        <v>264</v>
      </c>
      <c r="AA13" s="197"/>
      <c r="AB13" s="197"/>
      <c r="AC13" s="197"/>
      <c r="AD13" s="197"/>
      <c r="AE13" s="197"/>
      <c r="AF13" s="197"/>
      <c r="AG13" s="197"/>
      <c r="AH13" s="197"/>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row>
    <row r="14" spans="1:102" ht="35.4">
      <c r="A14" s="1"/>
      <c r="B14" s="185"/>
      <c r="C14" s="87" t="s">
        <v>143</v>
      </c>
      <c r="D14" s="88">
        <v>71.59</v>
      </c>
      <c r="E14" s="89">
        <v>4</v>
      </c>
      <c r="F14" s="90">
        <v>17.897500000000001</v>
      </c>
      <c r="G14" s="91"/>
      <c r="H14" s="92"/>
      <c r="I14" s="1"/>
      <c r="J14" s="1"/>
      <c r="K14" s="1"/>
      <c r="L14" s="1"/>
      <c r="M14" s="1"/>
      <c r="N14" s="1"/>
      <c r="O14" s="1"/>
      <c r="P14" s="184" t="s">
        <v>8</v>
      </c>
      <c r="Q14" s="87" t="s">
        <v>269</v>
      </c>
      <c r="R14" s="88">
        <v>0.21002646836944872</v>
      </c>
      <c r="S14" s="90">
        <v>0.66287647136874306</v>
      </c>
      <c r="T14" s="90">
        <v>9.9074557042476094E-4</v>
      </c>
      <c r="U14" s="89">
        <v>6</v>
      </c>
      <c r="V14" s="90">
        <v>0.99924161854710147</v>
      </c>
      <c r="W14" s="108">
        <v>2.4999999999998579E-2</v>
      </c>
      <c r="X14" s="108">
        <v>25.233521850903017</v>
      </c>
      <c r="Y14" s="1"/>
      <c r="Z14" s="198" t="s">
        <v>84</v>
      </c>
      <c r="AA14" s="198"/>
      <c r="AB14" s="200" t="s">
        <v>265</v>
      </c>
      <c r="AC14" s="201"/>
      <c r="AD14" s="201" t="s">
        <v>266</v>
      </c>
      <c r="AE14" s="201"/>
      <c r="AF14" s="201"/>
      <c r="AG14" s="201"/>
      <c r="AH14" s="20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row>
    <row r="15" spans="1:102" ht="45.6">
      <c r="A15" s="1"/>
      <c r="B15" s="184"/>
      <c r="C15" s="93" t="s">
        <v>144</v>
      </c>
      <c r="D15" s="94">
        <v>4725.26</v>
      </c>
      <c r="E15" s="95">
        <v>7</v>
      </c>
      <c r="F15" s="96"/>
      <c r="G15" s="96"/>
      <c r="H15" s="97"/>
      <c r="I15" s="1"/>
      <c r="J15" s="1"/>
      <c r="K15" s="1"/>
      <c r="L15" s="1"/>
      <c r="M15" s="1"/>
      <c r="N15" s="1"/>
      <c r="O15" s="1"/>
      <c r="P15" s="184"/>
      <c r="Q15" s="93" t="s">
        <v>270</v>
      </c>
      <c r="R15" s="105"/>
      <c r="S15" s="96"/>
      <c r="T15" s="106">
        <v>9.9074557042476115E-4</v>
      </c>
      <c r="U15" s="106">
        <v>5.7621797877548033</v>
      </c>
      <c r="V15" s="106">
        <v>0.99924290374912739</v>
      </c>
      <c r="W15" s="107">
        <v>2.4999999999998579E-2</v>
      </c>
      <c r="X15" s="107">
        <v>25.233521850903013</v>
      </c>
      <c r="Y15" s="1"/>
      <c r="Z15" s="198"/>
      <c r="AA15" s="198"/>
      <c r="AB15" s="200" t="s">
        <v>140</v>
      </c>
      <c r="AC15" s="201" t="s">
        <v>141</v>
      </c>
      <c r="AD15" s="201" t="s">
        <v>163</v>
      </c>
      <c r="AE15" s="201" t="s">
        <v>138</v>
      </c>
      <c r="AF15" s="201" t="s">
        <v>157</v>
      </c>
      <c r="AG15" s="201" t="s">
        <v>267</v>
      </c>
      <c r="AH15" s="201" t="s">
        <v>268</v>
      </c>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row>
    <row r="16" spans="1:102" ht="34.200000000000003">
      <c r="A16" s="1"/>
      <c r="B16" s="184" t="s">
        <v>8</v>
      </c>
      <c r="C16" s="87" t="s">
        <v>142</v>
      </c>
      <c r="D16" s="88">
        <v>7521.1337499999972</v>
      </c>
      <c r="E16" s="89">
        <v>3</v>
      </c>
      <c r="F16" s="90">
        <v>2507.0445833333324</v>
      </c>
      <c r="G16" s="90">
        <v>83.823114751814543</v>
      </c>
      <c r="H16" s="98">
        <v>4.57261200390304E-4</v>
      </c>
      <c r="I16" s="1"/>
      <c r="J16" s="1"/>
      <c r="K16" s="1"/>
      <c r="L16" s="1"/>
      <c r="M16" s="1"/>
      <c r="N16" s="1"/>
      <c r="O16" s="1"/>
      <c r="P16" s="184" t="s">
        <v>9</v>
      </c>
      <c r="Q16" s="87" t="s">
        <v>269</v>
      </c>
      <c r="R16" s="88">
        <v>0.11229267335650864</v>
      </c>
      <c r="S16" s="90">
        <v>0.74895439535244834</v>
      </c>
      <c r="T16" s="90">
        <v>0</v>
      </c>
      <c r="U16" s="89">
        <v>6</v>
      </c>
      <c r="V16" s="90">
        <v>1</v>
      </c>
      <c r="W16" s="108">
        <v>0</v>
      </c>
      <c r="X16" s="108">
        <v>21.321731871496745</v>
      </c>
      <c r="Y16" s="1"/>
      <c r="Z16" s="199"/>
      <c r="AA16" s="199"/>
      <c r="AB16" s="202"/>
      <c r="AC16" s="203"/>
      <c r="AD16" s="203"/>
      <c r="AE16" s="203"/>
      <c r="AF16" s="203"/>
      <c r="AG16" s="203"/>
      <c r="AH16" s="203"/>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row>
    <row r="17" spans="1:102" ht="45.6">
      <c r="A17" s="1"/>
      <c r="B17" s="185"/>
      <c r="C17" s="87" t="s">
        <v>143</v>
      </c>
      <c r="D17" s="88">
        <v>119.63499999999996</v>
      </c>
      <c r="E17" s="89">
        <v>4</v>
      </c>
      <c r="F17" s="90">
        <v>29.908749999999991</v>
      </c>
      <c r="G17" s="91"/>
      <c r="H17" s="92"/>
      <c r="I17" s="1"/>
      <c r="J17" s="1"/>
      <c r="K17" s="1"/>
      <c r="L17" s="1"/>
      <c r="M17" s="1"/>
      <c r="N17" s="1"/>
      <c r="O17" s="1"/>
      <c r="P17" s="184"/>
      <c r="Q17" s="93" t="s">
        <v>270</v>
      </c>
      <c r="R17" s="105"/>
      <c r="S17" s="96"/>
      <c r="T17" s="106">
        <v>0</v>
      </c>
      <c r="U17" s="106">
        <v>5.7732254791372561</v>
      </c>
      <c r="V17" s="106">
        <v>1</v>
      </c>
      <c r="W17" s="107">
        <v>0</v>
      </c>
      <c r="X17" s="107">
        <v>21.321731871496745</v>
      </c>
      <c r="Y17" s="1"/>
      <c r="Z17" s="204" t="s">
        <v>6</v>
      </c>
      <c r="AA17" s="113" t="s">
        <v>269</v>
      </c>
      <c r="AB17" s="114"/>
      <c r="AC17" s="115"/>
      <c r="AD17" s="116">
        <v>-11.148073959949798</v>
      </c>
      <c r="AE17" s="117">
        <v>2</v>
      </c>
      <c r="AF17" s="116">
        <v>7.9505439626356145E-3</v>
      </c>
      <c r="AG17" s="118">
        <v>-70.349999999999994</v>
      </c>
      <c r="AH17" s="118">
        <v>6.310507111159926</v>
      </c>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row>
    <row r="18" spans="1:102" ht="45.6">
      <c r="A18" s="1"/>
      <c r="B18" s="184"/>
      <c r="C18" s="93" t="s">
        <v>144</v>
      </c>
      <c r="D18" s="94">
        <v>7640.7687499999975</v>
      </c>
      <c r="E18" s="95">
        <v>7</v>
      </c>
      <c r="F18" s="96"/>
      <c r="G18" s="96"/>
      <c r="H18" s="97"/>
      <c r="I18" s="1"/>
      <c r="J18" s="1"/>
      <c r="K18" s="1"/>
      <c r="L18" s="1"/>
      <c r="M18" s="1"/>
      <c r="N18" s="1"/>
      <c r="O18" s="1"/>
      <c r="P18" s="184" t="s">
        <v>246</v>
      </c>
      <c r="Q18" s="87" t="s">
        <v>269</v>
      </c>
      <c r="R18" s="88">
        <v>0.23142487047362714</v>
      </c>
      <c r="S18" s="90">
        <v>0.64750949411728198</v>
      </c>
      <c r="T18" s="90">
        <v>-9.6073891868352676E-4</v>
      </c>
      <c r="U18" s="89">
        <v>6</v>
      </c>
      <c r="V18" s="90">
        <v>0.99926458759236136</v>
      </c>
      <c r="W18" s="108">
        <v>-2.4999999999998579E-2</v>
      </c>
      <c r="X18" s="108">
        <v>26.021637631017768</v>
      </c>
      <c r="Y18" s="1"/>
      <c r="Z18" s="205"/>
      <c r="AA18" s="119" t="s">
        <v>270</v>
      </c>
      <c r="AB18" s="120"/>
      <c r="AC18" s="121"/>
      <c r="AD18" s="122">
        <v>-11.148073959949798</v>
      </c>
      <c r="AE18" s="122">
        <v>1.8773757447307455</v>
      </c>
      <c r="AF18" s="122">
        <v>9.9026816773817306E-3</v>
      </c>
      <c r="AG18" s="123">
        <v>-70.349999999999994</v>
      </c>
      <c r="AH18" s="123">
        <v>6.310507111159926</v>
      </c>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row>
    <row r="19" spans="1:102" ht="45.6">
      <c r="A19" s="1"/>
      <c r="B19" s="184" t="s">
        <v>9</v>
      </c>
      <c r="C19" s="87" t="s">
        <v>142</v>
      </c>
      <c r="D19" s="88">
        <v>5367.125</v>
      </c>
      <c r="E19" s="89">
        <v>3</v>
      </c>
      <c r="F19" s="90">
        <v>1789.0416666666667</v>
      </c>
      <c r="G19" s="90">
        <v>81.071334164117616</v>
      </c>
      <c r="H19" s="98">
        <v>4.8822414266524864E-4</v>
      </c>
      <c r="I19" s="1"/>
      <c r="J19" s="1"/>
      <c r="K19" s="1"/>
      <c r="L19" s="1"/>
      <c r="M19" s="1"/>
      <c r="N19" s="1"/>
      <c r="O19" s="1"/>
      <c r="P19" s="184"/>
      <c r="Q19" s="93" t="s">
        <v>270</v>
      </c>
      <c r="R19" s="105"/>
      <c r="S19" s="96"/>
      <c r="T19" s="106">
        <v>-9.6073891868352665E-4</v>
      </c>
      <c r="U19" s="106">
        <v>5.7314049794873787</v>
      </c>
      <c r="V19" s="106">
        <v>0.99926600243460528</v>
      </c>
      <c r="W19" s="107">
        <v>-2.4999999999998579E-2</v>
      </c>
      <c r="X19" s="107">
        <v>26.021637631017771</v>
      </c>
      <c r="Y19" s="1"/>
      <c r="Z19" s="205" t="s">
        <v>9</v>
      </c>
      <c r="AA19" s="124" t="s">
        <v>269</v>
      </c>
      <c r="AB19" s="125"/>
      <c r="AC19" s="126"/>
      <c r="AD19" s="127">
        <v>-6.5693233877590069</v>
      </c>
      <c r="AE19" s="128">
        <v>2</v>
      </c>
      <c r="AF19" s="127">
        <v>2.2396242367527797E-2</v>
      </c>
      <c r="AG19" s="129">
        <v>-42.55</v>
      </c>
      <c r="AH19" s="129">
        <v>6.4770749571083419</v>
      </c>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row>
    <row r="20" spans="1:102" ht="45.6">
      <c r="A20" s="1"/>
      <c r="B20" s="185"/>
      <c r="C20" s="87" t="s">
        <v>143</v>
      </c>
      <c r="D20" s="88">
        <v>88.270000000000067</v>
      </c>
      <c r="E20" s="89">
        <v>4</v>
      </c>
      <c r="F20" s="90">
        <v>22.067500000000017</v>
      </c>
      <c r="G20" s="91"/>
      <c r="H20" s="92"/>
      <c r="I20" s="1"/>
      <c r="J20" s="1"/>
      <c r="K20" s="1"/>
      <c r="L20" s="1"/>
      <c r="M20" s="1"/>
      <c r="N20" s="1"/>
      <c r="O20" s="1"/>
      <c r="P20" s="184" t="s">
        <v>11</v>
      </c>
      <c r="Q20" s="87" t="s">
        <v>269</v>
      </c>
      <c r="R20" s="88">
        <v>7.7662244532090405E-2</v>
      </c>
      <c r="S20" s="90">
        <v>0.78984645670838083</v>
      </c>
      <c r="T20" s="90">
        <v>0</v>
      </c>
      <c r="U20" s="89">
        <v>6</v>
      </c>
      <c r="V20" s="90">
        <v>1</v>
      </c>
      <c r="W20" s="108">
        <v>0</v>
      </c>
      <c r="X20" s="108">
        <v>25.210050905673846</v>
      </c>
      <c r="Y20" s="1"/>
      <c r="Z20" s="206"/>
      <c r="AA20" s="130" t="s">
        <v>270</v>
      </c>
      <c r="AB20" s="131"/>
      <c r="AC20" s="132"/>
      <c r="AD20" s="133">
        <v>-6.5693233877590069</v>
      </c>
      <c r="AE20" s="133">
        <v>1.7049409480317448</v>
      </c>
      <c r="AF20" s="133">
        <v>3.2991834091878225E-2</v>
      </c>
      <c r="AG20" s="134">
        <v>-42.55</v>
      </c>
      <c r="AH20" s="134">
        <v>6.4770749571083419</v>
      </c>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row>
    <row r="21" spans="1:102" ht="45.6">
      <c r="A21" s="1"/>
      <c r="B21" s="184"/>
      <c r="C21" s="93" t="s">
        <v>144</v>
      </c>
      <c r="D21" s="94">
        <v>5455.3950000000004</v>
      </c>
      <c r="E21" s="95">
        <v>7</v>
      </c>
      <c r="F21" s="96"/>
      <c r="G21" s="96"/>
      <c r="H21" s="97"/>
      <c r="I21" s="1"/>
      <c r="J21" s="1"/>
      <c r="K21" s="1"/>
      <c r="L21" s="1"/>
      <c r="M21" s="1"/>
      <c r="N21" s="1"/>
      <c r="O21" s="1"/>
      <c r="P21" s="184"/>
      <c r="Q21" s="93" t="s">
        <v>270</v>
      </c>
      <c r="R21" s="105"/>
      <c r="S21" s="96"/>
      <c r="T21" s="106">
        <v>0</v>
      </c>
      <c r="U21" s="106">
        <v>5.9100949756184571</v>
      </c>
      <c r="V21" s="106">
        <v>1</v>
      </c>
      <c r="W21" s="107">
        <v>0</v>
      </c>
      <c r="X21" s="107">
        <v>25.210050905673846</v>
      </c>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row>
    <row r="22" spans="1:102" ht="34.200000000000003">
      <c r="A22" s="1"/>
      <c r="B22" s="184" t="s">
        <v>246</v>
      </c>
      <c r="C22" s="87" t="s">
        <v>142</v>
      </c>
      <c r="D22" s="88">
        <v>7995.1637500000015</v>
      </c>
      <c r="E22" s="89">
        <v>3</v>
      </c>
      <c r="F22" s="90">
        <v>2665.054583333334</v>
      </c>
      <c r="G22" s="90">
        <v>81.784635646425585</v>
      </c>
      <c r="H22" s="98">
        <v>4.799028872014495E-4</v>
      </c>
      <c r="I22" s="1"/>
      <c r="J22" s="1"/>
      <c r="K22" s="1"/>
      <c r="L22" s="1"/>
      <c r="M22" s="1"/>
      <c r="N22" s="1"/>
      <c r="O22" s="1"/>
      <c r="P22" s="184" t="s">
        <v>12</v>
      </c>
      <c r="Q22" s="87" t="s">
        <v>269</v>
      </c>
      <c r="R22" s="88">
        <v>0.45001077302434717</v>
      </c>
      <c r="S22" s="90">
        <v>0.52729451703763308</v>
      </c>
      <c r="T22" s="90">
        <v>0</v>
      </c>
      <c r="U22" s="89">
        <v>6</v>
      </c>
      <c r="V22" s="90">
        <v>1</v>
      </c>
      <c r="W22" s="108">
        <v>0</v>
      </c>
      <c r="X22" s="108">
        <v>25.13404066201851</v>
      </c>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row>
    <row r="23" spans="1:102" ht="45.6">
      <c r="A23" s="1"/>
      <c r="B23" s="185"/>
      <c r="C23" s="87" t="s">
        <v>143</v>
      </c>
      <c r="D23" s="88">
        <v>130.34499999999991</v>
      </c>
      <c r="E23" s="89">
        <v>4</v>
      </c>
      <c r="F23" s="90">
        <v>32.586249999999978</v>
      </c>
      <c r="G23" s="91"/>
      <c r="H23" s="92"/>
      <c r="I23" s="1"/>
      <c r="J23" s="1"/>
      <c r="K23" s="1"/>
      <c r="L23" s="1"/>
      <c r="M23" s="1"/>
      <c r="N23" s="1"/>
      <c r="O23" s="1"/>
      <c r="P23" s="184"/>
      <c r="Q23" s="93" t="s">
        <v>270</v>
      </c>
      <c r="R23" s="105"/>
      <c r="S23" s="96"/>
      <c r="T23" s="106">
        <v>0</v>
      </c>
      <c r="U23" s="106">
        <v>5.4961481122179663</v>
      </c>
      <c r="V23" s="106">
        <v>1</v>
      </c>
      <c r="W23" s="107">
        <v>0</v>
      </c>
      <c r="X23" s="107">
        <v>25.134040662018514</v>
      </c>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row>
    <row r="24" spans="1:102" ht="34.200000000000003">
      <c r="A24" s="1"/>
      <c r="B24" s="184"/>
      <c r="C24" s="93" t="s">
        <v>144</v>
      </c>
      <c r="D24" s="94">
        <v>8125.5087500000018</v>
      </c>
      <c r="E24" s="95">
        <v>7</v>
      </c>
      <c r="F24" s="96"/>
      <c r="G24" s="96"/>
      <c r="H24" s="97"/>
      <c r="I24" s="1"/>
      <c r="J24" s="1"/>
      <c r="K24" s="1"/>
      <c r="L24" s="1"/>
      <c r="M24" s="1"/>
      <c r="N24" s="1"/>
      <c r="O24" s="1"/>
      <c r="P24" s="184" t="s">
        <v>13</v>
      </c>
      <c r="Q24" s="87" t="s">
        <v>269</v>
      </c>
      <c r="R24" s="88">
        <v>0.15140925543741235</v>
      </c>
      <c r="S24" s="90">
        <v>0.71062690964733688</v>
      </c>
      <c r="T24" s="90">
        <v>-1.0110451687557161E-3</v>
      </c>
      <c r="U24" s="89">
        <v>6</v>
      </c>
      <c r="V24" s="90">
        <v>0.99922607991309031</v>
      </c>
      <c r="W24" s="108">
        <v>-2.4999999999998579E-2</v>
      </c>
      <c r="X24" s="108">
        <v>24.726887356344172</v>
      </c>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row>
    <row r="25" spans="1:102" ht="45.6">
      <c r="A25" s="1"/>
      <c r="B25" s="184" t="s">
        <v>11</v>
      </c>
      <c r="C25" s="87" t="s">
        <v>142</v>
      </c>
      <c r="D25" s="88">
        <v>7581</v>
      </c>
      <c r="E25" s="89">
        <v>3</v>
      </c>
      <c r="F25" s="90">
        <v>2527</v>
      </c>
      <c r="G25" s="90">
        <v>221.86128182616358</v>
      </c>
      <c r="H25" s="98">
        <v>6.677973331564282E-5</v>
      </c>
      <c r="I25" s="1"/>
      <c r="J25" s="1"/>
      <c r="K25" s="1"/>
      <c r="L25" s="1"/>
      <c r="M25" s="1"/>
      <c r="N25" s="1"/>
      <c r="O25" s="1"/>
      <c r="P25" s="184"/>
      <c r="Q25" s="93" t="s">
        <v>270</v>
      </c>
      <c r="R25" s="105"/>
      <c r="S25" s="96"/>
      <c r="T25" s="106">
        <v>-1.0110451687557161E-3</v>
      </c>
      <c r="U25" s="106">
        <v>5.7965883430178877</v>
      </c>
      <c r="V25" s="106">
        <v>0.99922719526333947</v>
      </c>
      <c r="W25" s="107">
        <v>-2.4999999999998579E-2</v>
      </c>
      <c r="X25" s="107">
        <v>24.726887356344172</v>
      </c>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row>
    <row r="26" spans="1:102" ht="34.200000000000003">
      <c r="A26" s="1"/>
      <c r="B26" s="185"/>
      <c r="C26" s="87" t="s">
        <v>143</v>
      </c>
      <c r="D26" s="88">
        <v>45.559999999999945</v>
      </c>
      <c r="E26" s="89">
        <v>4</v>
      </c>
      <c r="F26" s="90">
        <v>11.389999999999986</v>
      </c>
      <c r="G26" s="91"/>
      <c r="H26" s="92"/>
      <c r="I26" s="1"/>
      <c r="J26" s="1"/>
      <c r="K26" s="1"/>
      <c r="L26" s="1"/>
      <c r="M26" s="1"/>
      <c r="N26" s="1"/>
      <c r="O26" s="1"/>
      <c r="P26" s="184" t="s">
        <v>14</v>
      </c>
      <c r="Q26" s="87" t="s">
        <v>269</v>
      </c>
      <c r="R26" s="88">
        <v>0.29831974688568819</v>
      </c>
      <c r="S26" s="90">
        <v>0.60463670875916709</v>
      </c>
      <c r="T26" s="90">
        <v>1.0923657070856635E-3</v>
      </c>
      <c r="U26" s="89">
        <v>6</v>
      </c>
      <c r="V26" s="90">
        <v>0.9991638318831122</v>
      </c>
      <c r="W26" s="108">
        <v>2.5000000000002132E-2</v>
      </c>
      <c r="X26" s="108">
        <v>22.886108413911995</v>
      </c>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row>
    <row r="27" spans="1:102" ht="45.6">
      <c r="A27" s="1"/>
      <c r="B27" s="184"/>
      <c r="C27" s="93" t="s">
        <v>144</v>
      </c>
      <c r="D27" s="94">
        <v>7626.5599999999995</v>
      </c>
      <c r="E27" s="95">
        <v>7</v>
      </c>
      <c r="F27" s="96"/>
      <c r="G27" s="96"/>
      <c r="H27" s="97"/>
      <c r="I27" s="1"/>
      <c r="J27" s="1"/>
      <c r="K27" s="1"/>
      <c r="L27" s="1"/>
      <c r="M27" s="1"/>
      <c r="N27" s="1"/>
      <c r="O27" s="1"/>
      <c r="P27" s="184"/>
      <c r="Q27" s="93" t="s">
        <v>270</v>
      </c>
      <c r="R27" s="105"/>
      <c r="S27" s="96"/>
      <c r="T27" s="106">
        <v>1.0923657070856635E-3</v>
      </c>
      <c r="U27" s="106">
        <v>5.6556219441020028</v>
      </c>
      <c r="V27" s="106">
        <v>0.99916592110270874</v>
      </c>
      <c r="W27" s="107">
        <v>2.5000000000002132E-2</v>
      </c>
      <c r="X27" s="107">
        <v>22.886108413911995</v>
      </c>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row>
    <row r="28" spans="1:102" ht="34.200000000000003">
      <c r="A28" s="1"/>
      <c r="B28" s="184" t="s">
        <v>12</v>
      </c>
      <c r="C28" s="87" t="s">
        <v>142</v>
      </c>
      <c r="D28" s="88">
        <v>7350.1400000000012</v>
      </c>
      <c r="E28" s="89">
        <v>3</v>
      </c>
      <c r="F28" s="90">
        <v>2450.0466666666671</v>
      </c>
      <c r="G28" s="90">
        <v>42.517078814172095</v>
      </c>
      <c r="H28" s="98">
        <v>1.7158585490067626E-3</v>
      </c>
      <c r="I28" s="1"/>
      <c r="J28" s="1"/>
      <c r="K28" s="1"/>
      <c r="L28" s="1"/>
      <c r="M28" s="1"/>
      <c r="N28" s="1"/>
      <c r="O28" s="1"/>
      <c r="P28" s="184" t="s">
        <v>15</v>
      </c>
      <c r="Q28" s="87" t="s">
        <v>269</v>
      </c>
      <c r="R28" s="88">
        <v>3.1855890021332163E-2</v>
      </c>
      <c r="S28" s="90">
        <v>0.86421827788937977</v>
      </c>
      <c r="T28" s="90">
        <v>0</v>
      </c>
      <c r="U28" s="89">
        <v>6</v>
      </c>
      <c r="V28" s="90">
        <v>1</v>
      </c>
      <c r="W28" s="108">
        <v>0</v>
      </c>
      <c r="X28" s="108">
        <v>31.164349289960583</v>
      </c>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row>
    <row r="29" spans="1:102" ht="45.6">
      <c r="A29" s="1"/>
      <c r="B29" s="185"/>
      <c r="C29" s="87" t="s">
        <v>143</v>
      </c>
      <c r="D29" s="88">
        <v>230.50000000000003</v>
      </c>
      <c r="E29" s="89">
        <v>4</v>
      </c>
      <c r="F29" s="90">
        <v>57.625000000000007</v>
      </c>
      <c r="G29" s="91"/>
      <c r="H29" s="92"/>
      <c r="I29" s="1"/>
      <c r="J29" s="1"/>
      <c r="K29" s="1"/>
      <c r="L29" s="1"/>
      <c r="M29" s="1"/>
      <c r="N29" s="1"/>
      <c r="O29" s="1"/>
      <c r="P29" s="184"/>
      <c r="Q29" s="93" t="s">
        <v>270</v>
      </c>
      <c r="R29" s="105"/>
      <c r="S29" s="96"/>
      <c r="T29" s="106">
        <v>0</v>
      </c>
      <c r="U29" s="106">
        <v>5.9600384461170668</v>
      </c>
      <c r="V29" s="106">
        <v>1</v>
      </c>
      <c r="W29" s="107">
        <v>0</v>
      </c>
      <c r="X29" s="107">
        <v>31.164349289960583</v>
      </c>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row>
    <row r="30" spans="1:102" ht="34.200000000000003">
      <c r="A30" s="1"/>
      <c r="B30" s="184"/>
      <c r="C30" s="93" t="s">
        <v>144</v>
      </c>
      <c r="D30" s="94">
        <v>7580.6400000000012</v>
      </c>
      <c r="E30" s="95">
        <v>7</v>
      </c>
      <c r="F30" s="96"/>
      <c r="G30" s="96"/>
      <c r="H30" s="97"/>
      <c r="I30" s="1"/>
      <c r="J30" s="1"/>
      <c r="K30" s="1"/>
      <c r="L30" s="1"/>
      <c r="M30" s="1"/>
      <c r="N30" s="1"/>
      <c r="O30" s="1"/>
      <c r="P30" s="184" t="s">
        <v>16</v>
      </c>
      <c r="Q30" s="87" t="s">
        <v>269</v>
      </c>
      <c r="R30" s="88">
        <v>0.26508712497717912</v>
      </c>
      <c r="S30" s="90">
        <v>0.62505687266882437</v>
      </c>
      <c r="T30" s="90">
        <v>0</v>
      </c>
      <c r="U30" s="89">
        <v>6</v>
      </c>
      <c r="V30" s="90">
        <v>1</v>
      </c>
      <c r="W30" s="108">
        <v>0</v>
      </c>
      <c r="X30" s="108">
        <v>24.288234463075604</v>
      </c>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row>
    <row r="31" spans="1:102" ht="45.6">
      <c r="A31" s="1"/>
      <c r="B31" s="184" t="s">
        <v>13</v>
      </c>
      <c r="C31" s="87" t="s">
        <v>142</v>
      </c>
      <c r="D31" s="88">
        <v>7235.2937499999989</v>
      </c>
      <c r="E31" s="89">
        <v>3</v>
      </c>
      <c r="F31" s="90">
        <v>2411.7645833333331</v>
      </c>
      <c r="G31" s="90">
        <v>94.825363280418131</v>
      </c>
      <c r="H31" s="98">
        <v>3.588263928798444E-4</v>
      </c>
      <c r="I31" s="1"/>
      <c r="J31" s="1"/>
      <c r="K31" s="1"/>
      <c r="L31" s="1"/>
      <c r="M31" s="1"/>
      <c r="N31" s="1"/>
      <c r="O31" s="1"/>
      <c r="P31" s="184"/>
      <c r="Q31" s="93" t="s">
        <v>270</v>
      </c>
      <c r="R31" s="105"/>
      <c r="S31" s="96"/>
      <c r="T31" s="106">
        <v>0</v>
      </c>
      <c r="U31" s="106">
        <v>5.6795492205550886</v>
      </c>
      <c r="V31" s="106">
        <v>1</v>
      </c>
      <c r="W31" s="107">
        <v>0</v>
      </c>
      <c r="X31" s="107">
        <v>24.288234463075604</v>
      </c>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row>
    <row r="32" spans="1:102" ht="34.200000000000003">
      <c r="A32" s="1"/>
      <c r="B32" s="185"/>
      <c r="C32" s="87" t="s">
        <v>143</v>
      </c>
      <c r="D32" s="88">
        <v>101.73499999999994</v>
      </c>
      <c r="E32" s="89">
        <v>4</v>
      </c>
      <c r="F32" s="90">
        <v>25.433749999999986</v>
      </c>
      <c r="G32" s="91"/>
      <c r="H32" s="92"/>
      <c r="I32" s="1"/>
      <c r="J32" s="1"/>
      <c r="K32" s="1"/>
      <c r="L32" s="1"/>
      <c r="M32" s="1"/>
      <c r="N32" s="1"/>
      <c r="O32" s="1"/>
      <c r="P32" s="184" t="s">
        <v>17</v>
      </c>
      <c r="Q32" s="87" t="s">
        <v>269</v>
      </c>
      <c r="R32" s="88">
        <v>0.1096530456954436</v>
      </c>
      <c r="S32" s="90">
        <v>0.75179873497138283</v>
      </c>
      <c r="T32" s="90">
        <v>0</v>
      </c>
      <c r="U32" s="89">
        <v>6</v>
      </c>
      <c r="V32" s="90">
        <v>1</v>
      </c>
      <c r="W32" s="108">
        <v>0</v>
      </c>
      <c r="X32" s="108">
        <v>20.215464377550173</v>
      </c>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row>
    <row r="33" spans="1:102" ht="45.6">
      <c r="A33" s="1"/>
      <c r="B33" s="184"/>
      <c r="C33" s="93" t="s">
        <v>144</v>
      </c>
      <c r="D33" s="94">
        <v>7337.0287499999986</v>
      </c>
      <c r="E33" s="95">
        <v>7</v>
      </c>
      <c r="F33" s="96"/>
      <c r="G33" s="96"/>
      <c r="H33" s="97"/>
      <c r="I33" s="1"/>
      <c r="J33" s="1"/>
      <c r="K33" s="1"/>
      <c r="L33" s="1"/>
      <c r="M33" s="1"/>
      <c r="N33" s="1"/>
      <c r="O33" s="1"/>
      <c r="P33" s="184"/>
      <c r="Q33" s="93" t="s">
        <v>270</v>
      </c>
      <c r="R33" s="105"/>
      <c r="S33" s="96"/>
      <c r="T33" s="106">
        <v>0</v>
      </c>
      <c r="U33" s="106">
        <v>5.8650690882907206</v>
      </c>
      <c r="V33" s="106">
        <v>1</v>
      </c>
      <c r="W33" s="107">
        <v>0</v>
      </c>
      <c r="X33" s="107">
        <v>20.215464377550173</v>
      </c>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row>
    <row r="34" spans="1:102" ht="34.200000000000003">
      <c r="A34" s="1"/>
      <c r="B34" s="184" t="s">
        <v>14</v>
      </c>
      <c r="C34" s="87" t="s">
        <v>142</v>
      </c>
      <c r="D34" s="88">
        <v>6154.213749999999</v>
      </c>
      <c r="E34" s="89">
        <v>3</v>
      </c>
      <c r="F34" s="90">
        <v>2051.404583333333</v>
      </c>
      <c r="G34" s="90">
        <v>62.602466781104958</v>
      </c>
      <c r="H34" s="98">
        <v>8.0974643460689796E-4</v>
      </c>
      <c r="I34" s="1"/>
      <c r="J34" s="1"/>
      <c r="K34" s="1"/>
      <c r="L34" s="1"/>
      <c r="M34" s="1"/>
      <c r="N34" s="1"/>
      <c r="O34" s="1"/>
      <c r="P34" s="184" t="s">
        <v>18</v>
      </c>
      <c r="Q34" s="87" t="s">
        <v>269</v>
      </c>
      <c r="R34" s="88">
        <v>0.37016464057480192</v>
      </c>
      <c r="S34" s="90">
        <v>0.56522000572671849</v>
      </c>
      <c r="T34" s="90">
        <v>-9.4938567604511167E-4</v>
      </c>
      <c r="U34" s="89">
        <v>6</v>
      </c>
      <c r="V34" s="90">
        <v>0.99927327810379662</v>
      </c>
      <c r="W34" s="108">
        <v>-2.4999999999998579E-2</v>
      </c>
      <c r="X34" s="108">
        <v>26.33281776921465</v>
      </c>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row>
    <row r="35" spans="1:102" ht="45.6">
      <c r="A35" s="1"/>
      <c r="B35" s="185"/>
      <c r="C35" s="87" t="s">
        <v>143</v>
      </c>
      <c r="D35" s="88">
        <v>131.07499999999999</v>
      </c>
      <c r="E35" s="89">
        <v>4</v>
      </c>
      <c r="F35" s="90">
        <v>32.768749999999997</v>
      </c>
      <c r="G35" s="91"/>
      <c r="H35" s="92"/>
      <c r="I35" s="1"/>
      <c r="J35" s="1"/>
      <c r="K35" s="1"/>
      <c r="L35" s="1"/>
      <c r="M35" s="1"/>
      <c r="N35" s="1"/>
      <c r="O35" s="1"/>
      <c r="P35" s="184"/>
      <c r="Q35" s="93" t="s">
        <v>270</v>
      </c>
      <c r="R35" s="105"/>
      <c r="S35" s="96"/>
      <c r="T35" s="106">
        <v>-9.4938567604511167E-4</v>
      </c>
      <c r="U35" s="106">
        <v>5.5801948565410315</v>
      </c>
      <c r="V35" s="106">
        <v>0.99927552039455136</v>
      </c>
      <c r="W35" s="107">
        <v>-2.4999999999998579E-2</v>
      </c>
      <c r="X35" s="107">
        <v>26.33281776921465</v>
      </c>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row>
    <row r="36" spans="1:102" ht="34.200000000000003">
      <c r="A36" s="1"/>
      <c r="B36" s="184"/>
      <c r="C36" s="93" t="s">
        <v>144</v>
      </c>
      <c r="D36" s="94">
        <v>6285.2887499999988</v>
      </c>
      <c r="E36" s="95">
        <v>7</v>
      </c>
      <c r="F36" s="96"/>
      <c r="G36" s="96"/>
      <c r="H36" s="97"/>
      <c r="I36" s="1"/>
      <c r="J36" s="1"/>
      <c r="K36" s="1"/>
      <c r="L36" s="1"/>
      <c r="M36" s="1"/>
      <c r="N36" s="1"/>
      <c r="O36" s="1"/>
      <c r="P36" s="184" t="s">
        <v>19</v>
      </c>
      <c r="Q36" s="87" t="s">
        <v>269</v>
      </c>
      <c r="R36" s="88">
        <v>0.12983191335295136</v>
      </c>
      <c r="S36" s="90">
        <v>0.73095111492986342</v>
      </c>
      <c r="T36" s="90">
        <v>0</v>
      </c>
      <c r="U36" s="89">
        <v>6</v>
      </c>
      <c r="V36" s="90">
        <v>1</v>
      </c>
      <c r="W36" s="108">
        <v>0</v>
      </c>
      <c r="X36" s="108">
        <v>28.688673723265772</v>
      </c>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row>
    <row r="37" spans="1:102" ht="45.6">
      <c r="A37" s="1"/>
      <c r="B37" s="184" t="s">
        <v>15</v>
      </c>
      <c r="C37" s="87" t="s">
        <v>142</v>
      </c>
      <c r="D37" s="88">
        <v>11628.84</v>
      </c>
      <c r="E37" s="89">
        <v>3</v>
      </c>
      <c r="F37" s="90">
        <v>3876.28</v>
      </c>
      <c r="G37" s="90">
        <v>601.90683229813555</v>
      </c>
      <c r="H37" s="98">
        <v>9.1533068536770354E-6</v>
      </c>
      <c r="I37" s="1"/>
      <c r="J37" s="1"/>
      <c r="K37" s="1"/>
      <c r="L37" s="1"/>
      <c r="M37" s="1"/>
      <c r="N37" s="1"/>
      <c r="O37" s="1"/>
      <c r="P37" s="184"/>
      <c r="Q37" s="93" t="s">
        <v>270</v>
      </c>
      <c r="R37" s="105"/>
      <c r="S37" s="96"/>
      <c r="T37" s="106">
        <v>0</v>
      </c>
      <c r="U37" s="106">
        <v>5.8469718048875423</v>
      </c>
      <c r="V37" s="106">
        <v>1</v>
      </c>
      <c r="W37" s="107">
        <v>0</v>
      </c>
      <c r="X37" s="107">
        <v>28.688673723265772</v>
      </c>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row>
    <row r="38" spans="1:102" ht="34.200000000000003">
      <c r="A38" s="1"/>
      <c r="B38" s="185"/>
      <c r="C38" s="87" t="s">
        <v>143</v>
      </c>
      <c r="D38" s="88">
        <v>25.760000000000048</v>
      </c>
      <c r="E38" s="89">
        <v>4</v>
      </c>
      <c r="F38" s="90">
        <v>6.4400000000000119</v>
      </c>
      <c r="G38" s="91"/>
      <c r="H38" s="92"/>
      <c r="I38" s="1"/>
      <c r="J38" s="1"/>
      <c r="K38" s="1"/>
      <c r="L38" s="1"/>
      <c r="M38" s="1"/>
      <c r="N38" s="1"/>
      <c r="O38" s="1"/>
      <c r="P38" s="184" t="s">
        <v>20</v>
      </c>
      <c r="Q38" s="87" t="s">
        <v>269</v>
      </c>
      <c r="R38" s="88">
        <v>0.26492928356132617</v>
      </c>
      <c r="S38" s="90">
        <v>0.62515774930401002</v>
      </c>
      <c r="T38" s="90">
        <v>0</v>
      </c>
      <c r="U38" s="89">
        <v>6</v>
      </c>
      <c r="V38" s="90">
        <v>1</v>
      </c>
      <c r="W38" s="108">
        <v>0</v>
      </c>
      <c r="X38" s="108">
        <v>26.511695532349489</v>
      </c>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row>
    <row r="39" spans="1:102" ht="45.6">
      <c r="A39" s="1"/>
      <c r="B39" s="184"/>
      <c r="C39" s="93" t="s">
        <v>144</v>
      </c>
      <c r="D39" s="94">
        <v>11654.6</v>
      </c>
      <c r="E39" s="95">
        <v>7</v>
      </c>
      <c r="F39" s="96"/>
      <c r="G39" s="96"/>
      <c r="H39" s="97"/>
      <c r="I39" s="1"/>
      <c r="J39" s="1"/>
      <c r="K39" s="1"/>
      <c r="L39" s="1"/>
      <c r="M39" s="1"/>
      <c r="N39" s="1"/>
      <c r="O39" s="1"/>
      <c r="P39" s="184"/>
      <c r="Q39" s="93" t="s">
        <v>270</v>
      </c>
      <c r="R39" s="105"/>
      <c r="S39" s="96"/>
      <c r="T39" s="106">
        <v>0</v>
      </c>
      <c r="U39" s="106">
        <v>5.6767877419980683</v>
      </c>
      <c r="V39" s="106">
        <v>1</v>
      </c>
      <c r="W39" s="107">
        <v>0</v>
      </c>
      <c r="X39" s="107">
        <v>26.511695532349489</v>
      </c>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row>
    <row r="40" spans="1:102" ht="34.200000000000003">
      <c r="A40" s="1"/>
      <c r="B40" s="184" t="s">
        <v>16</v>
      </c>
      <c r="C40" s="87" t="s">
        <v>142</v>
      </c>
      <c r="D40" s="88">
        <v>6956.4299999999985</v>
      </c>
      <c r="E40" s="89">
        <v>3</v>
      </c>
      <c r="F40" s="90">
        <v>2318.8099999999995</v>
      </c>
      <c r="G40" s="90">
        <v>75.660657476139946</v>
      </c>
      <c r="H40" s="98">
        <v>5.5903967314760558E-4</v>
      </c>
      <c r="I40" s="1"/>
      <c r="J40" s="1"/>
      <c r="K40" s="1"/>
      <c r="L40" s="1"/>
      <c r="M40" s="1"/>
      <c r="N40" s="1"/>
      <c r="O40" s="1"/>
      <c r="P40" s="184" t="s">
        <v>21</v>
      </c>
      <c r="Q40" s="87" t="s">
        <v>269</v>
      </c>
      <c r="R40" s="88">
        <v>0.11194251546533834</v>
      </c>
      <c r="S40" s="90">
        <v>0.74932952488016979</v>
      </c>
      <c r="T40" s="90">
        <v>-8.3748030751451747E-4</v>
      </c>
      <c r="U40" s="89">
        <v>6</v>
      </c>
      <c r="V40" s="90">
        <v>0.999358937767727</v>
      </c>
      <c r="W40" s="108">
        <v>-2.4999999999998579E-2</v>
      </c>
      <c r="X40" s="108">
        <v>29.851448178159355</v>
      </c>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row>
    <row r="41" spans="1:102" ht="45.6">
      <c r="A41" s="1"/>
      <c r="B41" s="185"/>
      <c r="C41" s="87" t="s">
        <v>143</v>
      </c>
      <c r="D41" s="88">
        <v>122.59000000000003</v>
      </c>
      <c r="E41" s="89">
        <v>4</v>
      </c>
      <c r="F41" s="90">
        <v>30.647500000000008</v>
      </c>
      <c r="G41" s="91"/>
      <c r="H41" s="92"/>
      <c r="I41" s="1"/>
      <c r="J41" s="1"/>
      <c r="K41" s="1"/>
      <c r="L41" s="1"/>
      <c r="M41" s="1"/>
      <c r="N41" s="1"/>
      <c r="O41" s="1"/>
      <c r="P41" s="184"/>
      <c r="Q41" s="93" t="s">
        <v>270</v>
      </c>
      <c r="R41" s="105"/>
      <c r="S41" s="96"/>
      <c r="T41" s="106">
        <v>-8.3748030751451747E-4</v>
      </c>
      <c r="U41" s="106">
        <v>5.8599402640785181</v>
      </c>
      <c r="V41" s="106">
        <v>0.99935956726621378</v>
      </c>
      <c r="W41" s="107">
        <v>-2.4999999999998579E-2</v>
      </c>
      <c r="X41" s="107">
        <v>29.851448178159355</v>
      </c>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row>
    <row r="42" spans="1:102" ht="34.200000000000003">
      <c r="A42" s="1"/>
      <c r="B42" s="184"/>
      <c r="C42" s="93" t="s">
        <v>144</v>
      </c>
      <c r="D42" s="94">
        <v>7079.0199999999986</v>
      </c>
      <c r="E42" s="95">
        <v>7</v>
      </c>
      <c r="F42" s="96"/>
      <c r="G42" s="96"/>
      <c r="H42" s="97"/>
      <c r="I42" s="1"/>
      <c r="J42" s="1"/>
      <c r="K42" s="1"/>
      <c r="L42" s="1"/>
      <c r="M42" s="1"/>
      <c r="N42" s="1"/>
      <c r="O42" s="1"/>
      <c r="P42" s="184" t="s">
        <v>22</v>
      </c>
      <c r="Q42" s="87" t="s">
        <v>269</v>
      </c>
      <c r="R42" s="88">
        <v>7.2318533227026777E-2</v>
      </c>
      <c r="S42" s="90">
        <v>0.79699847748731623</v>
      </c>
      <c r="T42" s="90">
        <v>-8.7342818137736537E-4</v>
      </c>
      <c r="U42" s="89">
        <v>6</v>
      </c>
      <c r="V42" s="90">
        <v>0.99933142092063088</v>
      </c>
      <c r="W42" s="108">
        <v>-2.4999999999998579E-2</v>
      </c>
      <c r="X42" s="108">
        <v>28.622845624896673</v>
      </c>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row>
    <row r="43" spans="1:102" ht="45.6">
      <c r="A43" s="1"/>
      <c r="B43" s="184" t="s">
        <v>17</v>
      </c>
      <c r="C43" s="87" t="s">
        <v>142</v>
      </c>
      <c r="D43" s="88">
        <v>4835.5300000000007</v>
      </c>
      <c r="E43" s="89">
        <v>3</v>
      </c>
      <c r="F43" s="90">
        <v>1611.8433333333335</v>
      </c>
      <c r="G43" s="90">
        <v>94.190990990991054</v>
      </c>
      <c r="H43" s="98">
        <v>3.6359684271420538E-4</v>
      </c>
      <c r="I43" s="1"/>
      <c r="J43" s="1"/>
      <c r="K43" s="1"/>
      <c r="L43" s="1"/>
      <c r="M43" s="1"/>
      <c r="N43" s="1"/>
      <c r="O43" s="1"/>
      <c r="P43" s="184"/>
      <c r="Q43" s="93" t="s">
        <v>270</v>
      </c>
      <c r="R43" s="105"/>
      <c r="S43" s="96"/>
      <c r="T43" s="106">
        <v>-8.7342818137736537E-4</v>
      </c>
      <c r="U43" s="106">
        <v>5.9082614571817462</v>
      </c>
      <c r="V43" s="106">
        <v>0.99933184754027504</v>
      </c>
      <c r="W43" s="107">
        <v>-2.4999999999998579E-2</v>
      </c>
      <c r="X43" s="107">
        <v>28.622845624896673</v>
      </c>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row>
    <row r="44" spans="1:102" ht="34.200000000000003">
      <c r="A44" s="1"/>
      <c r="B44" s="185"/>
      <c r="C44" s="87" t="s">
        <v>143</v>
      </c>
      <c r="D44" s="88">
        <v>68.44999999999996</v>
      </c>
      <c r="E44" s="89">
        <v>4</v>
      </c>
      <c r="F44" s="90">
        <v>17.11249999999999</v>
      </c>
      <c r="G44" s="91"/>
      <c r="H44" s="92"/>
      <c r="I44" s="1"/>
      <c r="J44" s="1"/>
      <c r="K44" s="1"/>
      <c r="L44" s="1"/>
      <c r="M44" s="1"/>
      <c r="N44" s="1"/>
      <c r="O44" s="1"/>
      <c r="P44" s="184" t="s">
        <v>23</v>
      </c>
      <c r="Q44" s="87" t="s">
        <v>269</v>
      </c>
      <c r="R44" s="88">
        <v>0.17133934972748793</v>
      </c>
      <c r="S44" s="90">
        <v>0.69331355488878799</v>
      </c>
      <c r="T44" s="90">
        <v>-9.0681610507826343E-4</v>
      </c>
      <c r="U44" s="89">
        <v>6</v>
      </c>
      <c r="V44" s="90">
        <v>0.99930586362724505</v>
      </c>
      <c r="W44" s="108">
        <v>-2.5000000000002132E-2</v>
      </c>
      <c r="X44" s="108">
        <v>27.568985442582637</v>
      </c>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row>
    <row r="45" spans="1:102" ht="45.6">
      <c r="A45" s="1"/>
      <c r="B45" s="184"/>
      <c r="C45" s="93" t="s">
        <v>144</v>
      </c>
      <c r="D45" s="94">
        <v>4903.9800000000005</v>
      </c>
      <c r="E45" s="95">
        <v>7</v>
      </c>
      <c r="F45" s="96"/>
      <c r="G45" s="96"/>
      <c r="H45" s="97"/>
      <c r="I45" s="1"/>
      <c r="J45" s="1"/>
      <c r="K45" s="1"/>
      <c r="L45" s="1"/>
      <c r="M45" s="1"/>
      <c r="N45" s="1"/>
      <c r="O45" s="1"/>
      <c r="P45" s="184"/>
      <c r="Q45" s="93" t="s">
        <v>270</v>
      </c>
      <c r="R45" s="105"/>
      <c r="S45" s="96"/>
      <c r="T45" s="106">
        <v>-9.0681610507826343E-4</v>
      </c>
      <c r="U45" s="106">
        <v>5.7829009058923733</v>
      </c>
      <c r="V45" s="106">
        <v>0.99930693374878954</v>
      </c>
      <c r="W45" s="107">
        <v>-2.5000000000002132E-2</v>
      </c>
      <c r="X45" s="107">
        <v>27.568985442582637</v>
      </c>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row>
    <row r="46" spans="1:102" ht="34.200000000000003">
      <c r="A46" s="1"/>
      <c r="B46" s="184" t="s">
        <v>18</v>
      </c>
      <c r="C46" s="87" t="s">
        <v>142</v>
      </c>
      <c r="D46" s="88">
        <v>8111.0737500000032</v>
      </c>
      <c r="E46" s="89">
        <v>3</v>
      </c>
      <c r="F46" s="90">
        <v>2703.6912500000012</v>
      </c>
      <c r="G46" s="90">
        <v>51.514826017576908</v>
      </c>
      <c r="H46" s="98">
        <v>1.1834056007467271E-3</v>
      </c>
      <c r="I46" s="1"/>
      <c r="J46" s="1"/>
      <c r="K46" s="1"/>
      <c r="L46" s="1"/>
      <c r="M46" s="1"/>
      <c r="N46" s="1"/>
      <c r="O46" s="1"/>
      <c r="P46" s="184" t="s">
        <v>24</v>
      </c>
      <c r="Q46" s="87" t="s">
        <v>269</v>
      </c>
      <c r="R46" s="88">
        <v>9.9304344170992431E-2</v>
      </c>
      <c r="S46" s="90">
        <v>0.76333782913070658</v>
      </c>
      <c r="T46" s="90">
        <v>-1.103253106092865E-3</v>
      </c>
      <c r="U46" s="89">
        <v>6</v>
      </c>
      <c r="V46" s="90">
        <v>0.99915549796016068</v>
      </c>
      <c r="W46" s="108">
        <v>-2.4999999999998579E-2</v>
      </c>
      <c r="X46" s="108">
        <v>22.660257978819807</v>
      </c>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row>
    <row r="47" spans="1:102" ht="45.6">
      <c r="A47" s="1"/>
      <c r="B47" s="185"/>
      <c r="C47" s="87" t="s">
        <v>143</v>
      </c>
      <c r="D47" s="88">
        <v>209.93499999999995</v>
      </c>
      <c r="E47" s="89">
        <v>4</v>
      </c>
      <c r="F47" s="90">
        <v>52.483749999999986</v>
      </c>
      <c r="G47" s="91"/>
      <c r="H47" s="92"/>
      <c r="I47" s="1"/>
      <c r="J47" s="1"/>
      <c r="K47" s="1"/>
      <c r="L47" s="1"/>
      <c r="M47" s="1"/>
      <c r="N47" s="1"/>
      <c r="O47" s="1"/>
      <c r="P47" s="184"/>
      <c r="Q47" s="93" t="s">
        <v>270</v>
      </c>
      <c r="R47" s="105"/>
      <c r="S47" s="96"/>
      <c r="T47" s="106">
        <v>-1.103253106092865E-3</v>
      </c>
      <c r="U47" s="106">
        <v>5.8427584474604473</v>
      </c>
      <c r="V47" s="106">
        <v>0.99915643160324485</v>
      </c>
      <c r="W47" s="107">
        <v>-2.4999999999998579E-2</v>
      </c>
      <c r="X47" s="107">
        <v>22.660257978819807</v>
      </c>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row>
    <row r="48" spans="1:102" ht="34.200000000000003">
      <c r="A48" s="1"/>
      <c r="B48" s="184"/>
      <c r="C48" s="93" t="s">
        <v>144</v>
      </c>
      <c r="D48" s="94">
        <v>8321.0087500000027</v>
      </c>
      <c r="E48" s="95">
        <v>7</v>
      </c>
      <c r="F48" s="96"/>
      <c r="G48" s="96"/>
      <c r="H48" s="97"/>
      <c r="I48" s="1"/>
      <c r="J48" s="1"/>
      <c r="K48" s="1"/>
      <c r="L48" s="1"/>
      <c r="M48" s="1"/>
      <c r="N48" s="1"/>
      <c r="O48" s="1"/>
      <c r="P48" s="184" t="s">
        <v>25</v>
      </c>
      <c r="Q48" s="87" t="s">
        <v>269</v>
      </c>
      <c r="R48" s="88">
        <v>8.8061203946043748E-2</v>
      </c>
      <c r="S48" s="90">
        <v>0.77666119895860275</v>
      </c>
      <c r="T48" s="90">
        <v>0</v>
      </c>
      <c r="U48" s="89">
        <v>6</v>
      </c>
      <c r="V48" s="90">
        <v>1</v>
      </c>
      <c r="W48" s="108">
        <v>0</v>
      </c>
      <c r="X48" s="108">
        <v>14.056433876817168</v>
      </c>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row>
    <row r="49" spans="1:102" ht="45.6">
      <c r="A49" s="1"/>
      <c r="B49" s="184" t="s">
        <v>19</v>
      </c>
      <c r="C49" s="87" t="s">
        <v>142</v>
      </c>
      <c r="D49" s="88">
        <v>9784.8299999999981</v>
      </c>
      <c r="E49" s="89">
        <v>3</v>
      </c>
      <c r="F49" s="90">
        <v>3261.6099999999992</v>
      </c>
      <c r="G49" s="90">
        <v>142.35068194217112</v>
      </c>
      <c r="H49" s="98">
        <v>1.6095854415081008E-4</v>
      </c>
      <c r="I49" s="1"/>
      <c r="J49" s="1"/>
      <c r="K49" s="1"/>
      <c r="L49" s="1"/>
      <c r="M49" s="1"/>
      <c r="N49" s="1"/>
      <c r="O49" s="1"/>
      <c r="P49" s="184"/>
      <c r="Q49" s="93" t="s">
        <v>270</v>
      </c>
      <c r="R49" s="105"/>
      <c r="S49" s="96"/>
      <c r="T49" s="106">
        <v>0</v>
      </c>
      <c r="U49" s="106">
        <v>5.99921510656492</v>
      </c>
      <c r="V49" s="106">
        <v>1</v>
      </c>
      <c r="W49" s="107">
        <v>0</v>
      </c>
      <c r="X49" s="107">
        <v>14.056433876817168</v>
      </c>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row>
    <row r="50" spans="1:102" ht="34.200000000000003">
      <c r="A50" s="1"/>
      <c r="B50" s="185"/>
      <c r="C50" s="87" t="s">
        <v>143</v>
      </c>
      <c r="D50" s="88">
        <v>91.650000000000091</v>
      </c>
      <c r="E50" s="89">
        <v>4</v>
      </c>
      <c r="F50" s="90">
        <v>22.912500000000023</v>
      </c>
      <c r="G50" s="91"/>
      <c r="H50" s="92"/>
      <c r="I50" s="1"/>
      <c r="J50" s="1"/>
      <c r="K50" s="1"/>
      <c r="L50" s="1"/>
      <c r="M50" s="1"/>
      <c r="N50" s="1"/>
      <c r="O50" s="1"/>
      <c r="P50" s="184" t="s">
        <v>26</v>
      </c>
      <c r="Q50" s="87" t="s">
        <v>269</v>
      </c>
      <c r="R50" s="88">
        <v>0.2817179965784683</v>
      </c>
      <c r="S50" s="90">
        <v>0.61463993287243901</v>
      </c>
      <c r="T50" s="90">
        <v>-1.9815809404604401E-3</v>
      </c>
      <c r="U50" s="89">
        <v>6</v>
      </c>
      <c r="V50" s="90">
        <v>0.99848316922432956</v>
      </c>
      <c r="W50" s="108">
        <v>-5.0000000000000711E-2</v>
      </c>
      <c r="X50" s="108">
        <v>25.232378339480146</v>
      </c>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row>
    <row r="51" spans="1:102" ht="45.6">
      <c r="A51" s="1"/>
      <c r="B51" s="184"/>
      <c r="C51" s="93" t="s">
        <v>144</v>
      </c>
      <c r="D51" s="94">
        <v>9876.4799999999977</v>
      </c>
      <c r="E51" s="95">
        <v>7</v>
      </c>
      <c r="F51" s="96"/>
      <c r="G51" s="96"/>
      <c r="H51" s="97"/>
      <c r="I51" s="1"/>
      <c r="J51" s="1"/>
      <c r="K51" s="1"/>
      <c r="L51" s="1"/>
      <c r="M51" s="1"/>
      <c r="N51" s="1"/>
      <c r="O51" s="1"/>
      <c r="P51" s="184"/>
      <c r="Q51" s="93" t="s">
        <v>270</v>
      </c>
      <c r="R51" s="105"/>
      <c r="S51" s="96"/>
      <c r="T51" s="106">
        <v>-1.9815809404604406E-3</v>
      </c>
      <c r="U51" s="106">
        <v>5.6616257137878412</v>
      </c>
      <c r="V51" s="106">
        <v>0.99848688925029361</v>
      </c>
      <c r="W51" s="107">
        <v>-5.0000000000000711E-2</v>
      </c>
      <c r="X51" s="107">
        <v>25.232378339480142</v>
      </c>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row>
    <row r="52" spans="1:102" ht="34.200000000000003">
      <c r="A52" s="1"/>
      <c r="B52" s="184" t="s">
        <v>20</v>
      </c>
      <c r="C52" s="87" t="s">
        <v>142</v>
      </c>
      <c r="D52" s="88">
        <v>8302.6699999999983</v>
      </c>
      <c r="E52" s="89">
        <v>3</v>
      </c>
      <c r="F52" s="90">
        <v>2767.5566666666659</v>
      </c>
      <c r="G52" s="90">
        <v>84.01173762363716</v>
      </c>
      <c r="H52" s="98">
        <v>4.5524753952632296E-4</v>
      </c>
      <c r="I52" s="1"/>
      <c r="J52" s="1"/>
      <c r="K52" s="1"/>
      <c r="L52" s="1"/>
      <c r="M52" s="1"/>
      <c r="N52" s="1"/>
      <c r="O52" s="1"/>
      <c r="P52" s="184" t="s">
        <v>27</v>
      </c>
      <c r="Q52" s="87" t="s">
        <v>269</v>
      </c>
      <c r="R52" s="88">
        <v>8.0698102905768593E-2</v>
      </c>
      <c r="S52" s="90">
        <v>0.78590222886608085</v>
      </c>
      <c r="T52" s="90">
        <v>-1.1205592597849639E-3</v>
      </c>
      <c r="U52" s="89">
        <v>6</v>
      </c>
      <c r="V52" s="90">
        <v>0.99914225070535356</v>
      </c>
      <c r="W52" s="108">
        <v>-2.4999999999998579E-2</v>
      </c>
      <c r="X52" s="108">
        <v>22.310288172350738</v>
      </c>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row>
    <row r="53" spans="1:102" ht="45.6">
      <c r="A53" s="1"/>
      <c r="B53" s="185"/>
      <c r="C53" s="87" t="s">
        <v>143</v>
      </c>
      <c r="D53" s="88">
        <v>131.76999999999995</v>
      </c>
      <c r="E53" s="89">
        <v>4</v>
      </c>
      <c r="F53" s="90">
        <v>32.942499999999988</v>
      </c>
      <c r="G53" s="91"/>
      <c r="H53" s="92"/>
      <c r="I53" s="1"/>
      <c r="J53" s="1"/>
      <c r="K53" s="1"/>
      <c r="L53" s="1"/>
      <c r="M53" s="1"/>
      <c r="N53" s="1"/>
      <c r="O53" s="1"/>
      <c r="P53" s="184"/>
      <c r="Q53" s="93" t="s">
        <v>270</v>
      </c>
      <c r="R53" s="105"/>
      <c r="S53" s="96"/>
      <c r="T53" s="106">
        <v>-1.1205592597849639E-3</v>
      </c>
      <c r="U53" s="106">
        <v>5.8501516396603934</v>
      </c>
      <c r="V53" s="106">
        <v>0.99914315330446368</v>
      </c>
      <c r="W53" s="107">
        <v>-2.4999999999998579E-2</v>
      </c>
      <c r="X53" s="107">
        <v>22.310288172350738</v>
      </c>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row>
    <row r="54" spans="1:102" ht="34.200000000000003">
      <c r="A54" s="1"/>
      <c r="B54" s="184"/>
      <c r="C54" s="93" t="s">
        <v>144</v>
      </c>
      <c r="D54" s="94">
        <v>8434.4399999999987</v>
      </c>
      <c r="E54" s="95">
        <v>7</v>
      </c>
      <c r="F54" s="96"/>
      <c r="G54" s="96"/>
      <c r="H54" s="97"/>
      <c r="I54" s="1"/>
      <c r="J54" s="1"/>
      <c r="K54" s="1"/>
      <c r="L54" s="1"/>
      <c r="M54" s="1"/>
      <c r="N54" s="1"/>
      <c r="O54" s="1"/>
      <c r="P54" s="184" t="s">
        <v>28</v>
      </c>
      <c r="Q54" s="87" t="s">
        <v>269</v>
      </c>
      <c r="R54" s="88">
        <v>1.1882034307548757E-2</v>
      </c>
      <c r="S54" s="90">
        <v>0.91675288785464593</v>
      </c>
      <c r="T54" s="90">
        <v>7.751087977887238E-4</v>
      </c>
      <c r="U54" s="89">
        <v>6</v>
      </c>
      <c r="V54" s="90">
        <v>0.99940668099127317</v>
      </c>
      <c r="W54" s="108">
        <v>2.4999999999998579E-2</v>
      </c>
      <c r="X54" s="108">
        <v>32.253536627787035</v>
      </c>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row>
    <row r="55" spans="1:102" ht="45.6">
      <c r="A55" s="1"/>
      <c r="B55" s="184" t="s">
        <v>21</v>
      </c>
      <c r="C55" s="87" t="s">
        <v>142</v>
      </c>
      <c r="D55" s="88">
        <v>10619.313750000001</v>
      </c>
      <c r="E55" s="89">
        <v>3</v>
      </c>
      <c r="F55" s="90">
        <v>3539.7712500000002</v>
      </c>
      <c r="G55" s="90">
        <v>191.35191566997784</v>
      </c>
      <c r="H55" s="98">
        <v>8.9573100793433432E-5</v>
      </c>
      <c r="I55" s="1"/>
      <c r="J55" s="1"/>
      <c r="K55" s="1"/>
      <c r="L55" s="1"/>
      <c r="M55" s="1"/>
      <c r="N55" s="1"/>
      <c r="O55" s="1"/>
      <c r="P55" s="184"/>
      <c r="Q55" s="93" t="s">
        <v>270</v>
      </c>
      <c r="R55" s="105"/>
      <c r="S55" s="96"/>
      <c r="T55" s="106">
        <v>7.751087977887238E-4</v>
      </c>
      <c r="U55" s="106">
        <v>5.9844376735168385</v>
      </c>
      <c r="V55" s="106">
        <v>0.9994067444253385</v>
      </c>
      <c r="W55" s="107">
        <v>2.4999999999998579E-2</v>
      </c>
      <c r="X55" s="107">
        <v>32.253536627787035</v>
      </c>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row>
    <row r="56" spans="1:102" ht="34.200000000000003">
      <c r="A56" s="1"/>
      <c r="B56" s="185"/>
      <c r="C56" s="87" t="s">
        <v>143</v>
      </c>
      <c r="D56" s="88">
        <v>73.994999999999948</v>
      </c>
      <c r="E56" s="89">
        <v>4</v>
      </c>
      <c r="F56" s="90">
        <v>18.498749999999987</v>
      </c>
      <c r="G56" s="91"/>
      <c r="H56" s="92"/>
      <c r="I56" s="1"/>
      <c r="J56" s="1"/>
      <c r="K56" s="1"/>
      <c r="L56" s="1"/>
      <c r="M56" s="1"/>
      <c r="N56" s="1"/>
      <c r="O56" s="1"/>
      <c r="P56" s="184" t="s">
        <v>247</v>
      </c>
      <c r="Q56" s="87" t="s">
        <v>269</v>
      </c>
      <c r="R56" s="88">
        <v>0.17870939356872481</v>
      </c>
      <c r="S56" s="90">
        <v>0.6872162469788361</v>
      </c>
      <c r="T56" s="90">
        <v>0</v>
      </c>
      <c r="U56" s="89">
        <v>6</v>
      </c>
      <c r="V56" s="90">
        <v>1</v>
      </c>
      <c r="W56" s="108">
        <v>0</v>
      </c>
      <c r="X56" s="108">
        <v>24.153640167339859</v>
      </c>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row>
    <row r="57" spans="1:102" ht="45.6">
      <c r="A57" s="1"/>
      <c r="B57" s="184"/>
      <c r="C57" s="93" t="s">
        <v>144</v>
      </c>
      <c r="D57" s="94">
        <v>10693.308750000002</v>
      </c>
      <c r="E57" s="95">
        <v>7</v>
      </c>
      <c r="F57" s="96"/>
      <c r="G57" s="96"/>
      <c r="H57" s="97"/>
      <c r="I57" s="1"/>
      <c r="J57" s="1"/>
      <c r="K57" s="1"/>
      <c r="L57" s="1"/>
      <c r="M57" s="1"/>
      <c r="N57" s="1"/>
      <c r="O57" s="1"/>
      <c r="P57" s="184"/>
      <c r="Q57" s="93" t="s">
        <v>270</v>
      </c>
      <c r="R57" s="105"/>
      <c r="S57" s="96"/>
      <c r="T57" s="106">
        <v>0</v>
      </c>
      <c r="U57" s="106">
        <v>5.7924758334891022</v>
      </c>
      <c r="V57" s="106">
        <v>1</v>
      </c>
      <c r="W57" s="107">
        <v>0</v>
      </c>
      <c r="X57" s="107">
        <v>24.153640167339855</v>
      </c>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row>
    <row r="58" spans="1:102" ht="34.200000000000003">
      <c r="A58" s="1"/>
      <c r="B58" s="184" t="s">
        <v>22</v>
      </c>
      <c r="C58" s="87" t="s">
        <v>142</v>
      </c>
      <c r="D58" s="88">
        <v>9788.0137500000019</v>
      </c>
      <c r="E58" s="89">
        <v>3</v>
      </c>
      <c r="F58" s="90">
        <v>3262.6712500000008</v>
      </c>
      <c r="G58" s="90">
        <v>302.13415904618614</v>
      </c>
      <c r="H58" s="98">
        <v>3.6142430432265433E-5</v>
      </c>
      <c r="I58" s="1"/>
      <c r="J58" s="1"/>
      <c r="K58" s="1"/>
      <c r="L58" s="1"/>
      <c r="M58" s="1"/>
      <c r="N58" s="1"/>
      <c r="O58" s="1"/>
      <c r="P58" s="184" t="s">
        <v>30</v>
      </c>
      <c r="Q58" s="87" t="s">
        <v>269</v>
      </c>
      <c r="R58" s="88">
        <v>7.6931844084796003E-2</v>
      </c>
      <c r="S58" s="90">
        <v>0.79080789026794118</v>
      </c>
      <c r="T58" s="90">
        <v>0</v>
      </c>
      <c r="U58" s="89">
        <v>6</v>
      </c>
      <c r="V58" s="90">
        <v>1</v>
      </c>
      <c r="W58" s="108">
        <v>0</v>
      </c>
      <c r="X58" s="108">
        <v>21.353844306509934</v>
      </c>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row>
    <row r="59" spans="1:102" ht="45.6">
      <c r="A59" s="1"/>
      <c r="B59" s="185"/>
      <c r="C59" s="87" t="s">
        <v>143</v>
      </c>
      <c r="D59" s="88">
        <v>43.194999999999979</v>
      </c>
      <c r="E59" s="89">
        <v>4</v>
      </c>
      <c r="F59" s="90">
        <v>10.798749999999995</v>
      </c>
      <c r="G59" s="91"/>
      <c r="H59" s="92"/>
      <c r="I59" s="1"/>
      <c r="J59" s="1"/>
      <c r="K59" s="1"/>
      <c r="L59" s="1"/>
      <c r="M59" s="1"/>
      <c r="N59" s="1"/>
      <c r="O59" s="1"/>
      <c r="P59" s="184"/>
      <c r="Q59" s="93" t="s">
        <v>270</v>
      </c>
      <c r="R59" s="105"/>
      <c r="S59" s="96"/>
      <c r="T59" s="106">
        <v>0</v>
      </c>
      <c r="U59" s="106">
        <v>5.6673287699281509</v>
      </c>
      <c r="V59" s="106">
        <v>1</v>
      </c>
      <c r="W59" s="107">
        <v>0</v>
      </c>
      <c r="X59" s="107">
        <v>21.353844306509931</v>
      </c>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row>
    <row r="60" spans="1:102" ht="34.200000000000003">
      <c r="A60" s="1"/>
      <c r="B60" s="184"/>
      <c r="C60" s="93" t="s">
        <v>144</v>
      </c>
      <c r="D60" s="94">
        <v>9831.2087500000016</v>
      </c>
      <c r="E60" s="95">
        <v>7</v>
      </c>
      <c r="F60" s="96"/>
      <c r="G60" s="96"/>
      <c r="H60" s="97"/>
      <c r="I60" s="1"/>
      <c r="J60" s="1"/>
      <c r="K60" s="1"/>
      <c r="L60" s="1"/>
      <c r="M60" s="1"/>
      <c r="N60" s="1"/>
      <c r="O60" s="1"/>
      <c r="P60" s="184" t="s">
        <v>31</v>
      </c>
      <c r="Q60" s="87" t="s">
        <v>269</v>
      </c>
      <c r="R60" s="88">
        <v>0.17082147413877696</v>
      </c>
      <c r="S60" s="90">
        <v>0.69374785130649996</v>
      </c>
      <c r="T60" s="90">
        <v>0</v>
      </c>
      <c r="U60" s="89">
        <v>6</v>
      </c>
      <c r="V60" s="90">
        <v>1</v>
      </c>
      <c r="W60" s="108">
        <v>0</v>
      </c>
      <c r="X60" s="108">
        <v>27.892800743800063</v>
      </c>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row>
    <row r="61" spans="1:102" ht="45.6">
      <c r="A61" s="1"/>
      <c r="B61" s="184" t="s">
        <v>23</v>
      </c>
      <c r="C61" s="87" t="s">
        <v>142</v>
      </c>
      <c r="D61" s="88">
        <v>9030.063750000003</v>
      </c>
      <c r="E61" s="89">
        <v>3</v>
      </c>
      <c r="F61" s="90">
        <v>3010.0212500000011</v>
      </c>
      <c r="G61" s="90">
        <v>133.00287213476929</v>
      </c>
      <c r="H61" s="98">
        <v>1.8409868015133941E-4</v>
      </c>
      <c r="I61" s="1"/>
      <c r="J61" s="1"/>
      <c r="K61" s="1"/>
      <c r="L61" s="1"/>
      <c r="M61" s="1"/>
      <c r="N61" s="1"/>
      <c r="O61" s="1"/>
      <c r="P61" s="184"/>
      <c r="Q61" s="93" t="s">
        <v>270</v>
      </c>
      <c r="R61" s="105"/>
      <c r="S61" s="96"/>
      <c r="T61" s="106">
        <v>0</v>
      </c>
      <c r="U61" s="106">
        <v>5.7931435399448752</v>
      </c>
      <c r="V61" s="106">
        <v>1</v>
      </c>
      <c r="W61" s="107">
        <v>0</v>
      </c>
      <c r="X61" s="107">
        <v>27.892800743800066</v>
      </c>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row>
    <row r="62" spans="1:102" ht="34.200000000000003">
      <c r="A62" s="1"/>
      <c r="B62" s="185"/>
      <c r="C62" s="87" t="s">
        <v>143</v>
      </c>
      <c r="D62" s="88">
        <v>90.525000000000105</v>
      </c>
      <c r="E62" s="89">
        <v>4</v>
      </c>
      <c r="F62" s="90">
        <v>22.631250000000026</v>
      </c>
      <c r="G62" s="91"/>
      <c r="H62" s="92"/>
      <c r="I62" s="1"/>
      <c r="J62" s="1"/>
      <c r="K62" s="1"/>
      <c r="L62" s="1"/>
      <c r="M62" s="1"/>
      <c r="N62" s="1"/>
      <c r="O62" s="1"/>
      <c r="P62" s="184" t="s">
        <v>32</v>
      </c>
      <c r="Q62" s="87" t="s">
        <v>269</v>
      </c>
      <c r="R62" s="88">
        <v>0.18082255229327271</v>
      </c>
      <c r="S62" s="90">
        <v>0.68549594984904327</v>
      </c>
      <c r="T62" s="90">
        <v>1.1176403227082337E-3</v>
      </c>
      <c r="U62" s="89">
        <v>6</v>
      </c>
      <c r="V62" s="90">
        <v>0.99914448504948039</v>
      </c>
      <c r="W62" s="108">
        <v>2.4999999999998579E-2</v>
      </c>
      <c r="X62" s="108">
        <v>22.368555869046766</v>
      </c>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row>
    <row r="63" spans="1:102" ht="45.6">
      <c r="A63" s="1"/>
      <c r="B63" s="184"/>
      <c r="C63" s="93" t="s">
        <v>144</v>
      </c>
      <c r="D63" s="94">
        <v>9120.5887500000026</v>
      </c>
      <c r="E63" s="95">
        <v>7</v>
      </c>
      <c r="F63" s="96"/>
      <c r="G63" s="96"/>
      <c r="H63" s="97"/>
      <c r="I63" s="1"/>
      <c r="J63" s="1"/>
      <c r="K63" s="1"/>
      <c r="L63" s="1"/>
      <c r="M63" s="1"/>
      <c r="N63" s="1"/>
      <c r="O63" s="1"/>
      <c r="P63" s="184"/>
      <c r="Q63" s="93" t="s">
        <v>270</v>
      </c>
      <c r="R63" s="105"/>
      <c r="S63" s="96"/>
      <c r="T63" s="106">
        <v>1.1176403227082334E-3</v>
      </c>
      <c r="U63" s="106">
        <v>5.7945938877729253</v>
      </c>
      <c r="V63" s="106">
        <v>0.99914573049465472</v>
      </c>
      <c r="W63" s="107">
        <v>2.4999999999998579E-2</v>
      </c>
      <c r="X63" s="107">
        <v>22.368555869046769</v>
      </c>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row>
    <row r="64" spans="1:102" ht="34.200000000000003">
      <c r="A64" s="1"/>
      <c r="B64" s="184" t="s">
        <v>24</v>
      </c>
      <c r="C64" s="87" t="s">
        <v>142</v>
      </c>
      <c r="D64" s="88">
        <v>6101.2237499999992</v>
      </c>
      <c r="E64" s="89">
        <v>3</v>
      </c>
      <c r="F64" s="90">
        <v>2033.7412499999998</v>
      </c>
      <c r="G64" s="90">
        <v>134.18498969072186</v>
      </c>
      <c r="H64" s="98">
        <v>1.8090618399401652E-4</v>
      </c>
      <c r="I64" s="1"/>
      <c r="J64" s="1"/>
      <c r="K64" s="1"/>
      <c r="L64" s="1"/>
      <c r="M64" s="1"/>
      <c r="N64" s="1"/>
      <c r="O64" s="1"/>
      <c r="P64" s="184" t="s">
        <v>248</v>
      </c>
      <c r="Q64" s="87" t="s">
        <v>269</v>
      </c>
      <c r="R64" s="88">
        <v>0.40394603061196438</v>
      </c>
      <c r="S64" s="90">
        <v>0.54851662741475471</v>
      </c>
      <c r="T64" s="90">
        <v>0</v>
      </c>
      <c r="U64" s="89">
        <v>6</v>
      </c>
      <c r="V64" s="90">
        <v>1</v>
      </c>
      <c r="W64" s="108">
        <v>0</v>
      </c>
      <c r="X64" s="108">
        <v>20.510403864055593</v>
      </c>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row>
    <row r="65" spans="1:102" ht="45.6">
      <c r="A65" s="1"/>
      <c r="B65" s="185"/>
      <c r="C65" s="87" t="s">
        <v>143</v>
      </c>
      <c r="D65" s="88">
        <v>60.624999999999901</v>
      </c>
      <c r="E65" s="89">
        <v>4</v>
      </c>
      <c r="F65" s="90">
        <v>15.156249999999975</v>
      </c>
      <c r="G65" s="91"/>
      <c r="H65" s="92"/>
      <c r="I65" s="1"/>
      <c r="J65" s="1"/>
      <c r="K65" s="1"/>
      <c r="L65" s="1"/>
      <c r="M65" s="1"/>
      <c r="N65" s="1"/>
      <c r="O65" s="1"/>
      <c r="P65" s="184"/>
      <c r="Q65" s="93" t="s">
        <v>270</v>
      </c>
      <c r="R65" s="105"/>
      <c r="S65" s="96"/>
      <c r="T65" s="106">
        <v>0</v>
      </c>
      <c r="U65" s="106">
        <v>5.519412124120703</v>
      </c>
      <c r="V65" s="106">
        <v>1</v>
      </c>
      <c r="W65" s="107">
        <v>0</v>
      </c>
      <c r="X65" s="107">
        <v>20.510403864055593</v>
      </c>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row>
    <row r="66" spans="1:102" ht="34.200000000000003">
      <c r="A66" s="1"/>
      <c r="B66" s="184"/>
      <c r="C66" s="93" t="s">
        <v>144</v>
      </c>
      <c r="D66" s="94">
        <v>6161.8487499999992</v>
      </c>
      <c r="E66" s="95">
        <v>7</v>
      </c>
      <c r="F66" s="96"/>
      <c r="G66" s="96"/>
      <c r="H66" s="97"/>
      <c r="I66" s="1"/>
      <c r="J66" s="1"/>
      <c r="K66" s="1"/>
      <c r="L66" s="1"/>
      <c r="M66" s="1"/>
      <c r="N66" s="1"/>
      <c r="O66" s="1"/>
      <c r="P66" s="184" t="s">
        <v>34</v>
      </c>
      <c r="Q66" s="87" t="s">
        <v>269</v>
      </c>
      <c r="R66" s="88">
        <v>0.23657833140852663</v>
      </c>
      <c r="S66" s="90">
        <v>0.64394302597449427</v>
      </c>
      <c r="T66" s="90">
        <v>0</v>
      </c>
      <c r="U66" s="89">
        <v>6</v>
      </c>
      <c r="V66" s="90">
        <v>1</v>
      </c>
      <c r="W66" s="108">
        <v>0</v>
      </c>
      <c r="X66" s="108">
        <v>22.04665507509019</v>
      </c>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row>
    <row r="67" spans="1:102" ht="45.6">
      <c r="A67" s="1"/>
      <c r="B67" s="184" t="s">
        <v>25</v>
      </c>
      <c r="C67" s="87" t="s">
        <v>142</v>
      </c>
      <c r="D67" s="88">
        <v>2330.91</v>
      </c>
      <c r="E67" s="89">
        <v>3</v>
      </c>
      <c r="F67" s="90">
        <v>776.96999999999991</v>
      </c>
      <c r="G67" s="90">
        <v>77.522574208031926</v>
      </c>
      <c r="H67" s="98">
        <v>5.3302520060897302E-4</v>
      </c>
      <c r="I67" s="1"/>
      <c r="J67" s="1"/>
      <c r="K67" s="1"/>
      <c r="L67" s="1"/>
      <c r="M67" s="1"/>
      <c r="N67" s="1"/>
      <c r="O67" s="1"/>
      <c r="P67" s="184"/>
      <c r="Q67" s="93" t="s">
        <v>270</v>
      </c>
      <c r="R67" s="105"/>
      <c r="S67" s="96"/>
      <c r="T67" s="106">
        <v>0</v>
      </c>
      <c r="U67" s="106">
        <v>5.5982281030578473</v>
      </c>
      <c r="V67" s="106">
        <v>1</v>
      </c>
      <c r="W67" s="107">
        <v>0</v>
      </c>
      <c r="X67" s="107">
        <v>22.04665507509019</v>
      </c>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row>
    <row r="68" spans="1:102" ht="34.200000000000003">
      <c r="A68" s="1"/>
      <c r="B68" s="185"/>
      <c r="C68" s="87" t="s">
        <v>143</v>
      </c>
      <c r="D68" s="88">
        <v>40.089999999999996</v>
      </c>
      <c r="E68" s="89">
        <v>4</v>
      </c>
      <c r="F68" s="90">
        <v>10.022499999999999</v>
      </c>
      <c r="G68" s="91"/>
      <c r="H68" s="92"/>
      <c r="I68" s="1"/>
      <c r="J68" s="1"/>
      <c r="K68" s="1"/>
      <c r="L68" s="1"/>
      <c r="M68" s="1"/>
      <c r="N68" s="1"/>
      <c r="O68" s="1"/>
      <c r="P68" s="184" t="s">
        <v>35</v>
      </c>
      <c r="Q68" s="87" t="s">
        <v>269</v>
      </c>
      <c r="R68" s="88">
        <v>8.0336989114198995E-2</v>
      </c>
      <c r="S68" s="90">
        <v>0.78636709961241458</v>
      </c>
      <c r="T68" s="90">
        <v>0</v>
      </c>
      <c r="U68" s="89">
        <v>6</v>
      </c>
      <c r="V68" s="90">
        <v>1</v>
      </c>
      <c r="W68" s="108">
        <v>0</v>
      </c>
      <c r="X68" s="108">
        <v>29.663585982367898</v>
      </c>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row>
    <row r="69" spans="1:102" ht="45.6">
      <c r="A69" s="1"/>
      <c r="B69" s="184"/>
      <c r="C69" s="93" t="s">
        <v>144</v>
      </c>
      <c r="D69" s="94">
        <v>2371</v>
      </c>
      <c r="E69" s="95">
        <v>7</v>
      </c>
      <c r="F69" s="96"/>
      <c r="G69" s="96"/>
      <c r="H69" s="97"/>
      <c r="I69" s="1"/>
      <c r="J69" s="1"/>
      <c r="K69" s="1"/>
      <c r="L69" s="1"/>
      <c r="M69" s="1"/>
      <c r="N69" s="1"/>
      <c r="O69" s="1"/>
      <c r="P69" s="184"/>
      <c r="Q69" s="93" t="s">
        <v>270</v>
      </c>
      <c r="R69" s="105"/>
      <c r="S69" s="96"/>
      <c r="T69" s="106">
        <v>0</v>
      </c>
      <c r="U69" s="106">
        <v>5.8999918362919068</v>
      </c>
      <c r="V69" s="106">
        <v>1</v>
      </c>
      <c r="W69" s="107">
        <v>0</v>
      </c>
      <c r="X69" s="107">
        <v>29.663585982367898</v>
      </c>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row>
    <row r="70" spans="1:102" ht="34.200000000000003">
      <c r="A70" s="1"/>
      <c r="B70" s="184" t="s">
        <v>26</v>
      </c>
      <c r="C70" s="87" t="s">
        <v>142</v>
      </c>
      <c r="D70" s="88">
        <v>7500.93</v>
      </c>
      <c r="E70" s="89">
        <v>3</v>
      </c>
      <c r="F70" s="90">
        <v>2500.31</v>
      </c>
      <c r="G70" s="90">
        <v>71.873805246137195</v>
      </c>
      <c r="H70" s="98">
        <v>6.1818447543261258E-4</v>
      </c>
      <c r="I70" s="1"/>
      <c r="J70" s="1"/>
      <c r="K70" s="1"/>
      <c r="L70" s="1"/>
      <c r="M70" s="1"/>
      <c r="N70" s="1"/>
      <c r="O70" s="1"/>
      <c r="P70" s="184" t="s">
        <v>36</v>
      </c>
      <c r="Q70" s="87" t="s">
        <v>269</v>
      </c>
      <c r="R70" s="88">
        <v>0.11115530181538288</v>
      </c>
      <c r="S70" s="90">
        <v>0.75017530251785525</v>
      </c>
      <c r="T70" s="90">
        <v>0</v>
      </c>
      <c r="U70" s="89">
        <v>6</v>
      </c>
      <c r="V70" s="90">
        <v>1</v>
      </c>
      <c r="W70" s="108">
        <v>0</v>
      </c>
      <c r="X70" s="108">
        <v>21.36469049623701</v>
      </c>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row>
    <row r="71" spans="1:102" ht="45.6">
      <c r="A71" s="1"/>
      <c r="B71" s="185"/>
      <c r="C71" s="87" t="s">
        <v>143</v>
      </c>
      <c r="D71" s="88">
        <v>139.15000000000012</v>
      </c>
      <c r="E71" s="89">
        <v>4</v>
      </c>
      <c r="F71" s="90">
        <v>34.78750000000003</v>
      </c>
      <c r="G71" s="91"/>
      <c r="H71" s="92"/>
      <c r="I71" s="1"/>
      <c r="J71" s="1"/>
      <c r="K71" s="1"/>
      <c r="L71" s="1"/>
      <c r="M71" s="1"/>
      <c r="N71" s="1"/>
      <c r="O71" s="1"/>
      <c r="P71" s="184"/>
      <c r="Q71" s="93" t="s">
        <v>270</v>
      </c>
      <c r="R71" s="105"/>
      <c r="S71" s="96"/>
      <c r="T71" s="106">
        <v>0</v>
      </c>
      <c r="U71" s="106">
        <v>5.7536954664477467</v>
      </c>
      <c r="V71" s="106">
        <v>1</v>
      </c>
      <c r="W71" s="107">
        <v>0</v>
      </c>
      <c r="X71" s="107">
        <v>21.36469049623701</v>
      </c>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row>
    <row r="72" spans="1:102" ht="34.200000000000003">
      <c r="A72" s="1"/>
      <c r="B72" s="184"/>
      <c r="C72" s="93" t="s">
        <v>144</v>
      </c>
      <c r="D72" s="94">
        <v>7640.0800000000008</v>
      </c>
      <c r="E72" s="95">
        <v>7</v>
      </c>
      <c r="F72" s="96"/>
      <c r="G72" s="96"/>
      <c r="H72" s="97"/>
      <c r="I72" s="1"/>
      <c r="J72" s="1"/>
      <c r="K72" s="1"/>
      <c r="L72" s="1"/>
      <c r="M72" s="1"/>
      <c r="N72" s="1"/>
      <c r="O72" s="1"/>
      <c r="P72" s="184" t="s">
        <v>37</v>
      </c>
      <c r="Q72" s="87" t="s">
        <v>269</v>
      </c>
      <c r="R72" s="88">
        <v>8.5683489128337162E-2</v>
      </c>
      <c r="S72" s="90">
        <v>0.77959732858624198</v>
      </c>
      <c r="T72" s="90">
        <v>-8.6886307430274613E-4</v>
      </c>
      <c r="U72" s="89">
        <v>6</v>
      </c>
      <c r="V72" s="90">
        <v>0.99933491535125707</v>
      </c>
      <c r="W72" s="108">
        <v>-2.4999999999998579E-2</v>
      </c>
      <c r="X72" s="108">
        <v>28.773233365983273</v>
      </c>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row>
    <row r="73" spans="1:102" ht="45.6">
      <c r="A73" s="1"/>
      <c r="B73" s="184" t="s">
        <v>27</v>
      </c>
      <c r="C73" s="87" t="s">
        <v>142</v>
      </c>
      <c r="D73" s="88">
        <v>5874.8237499999987</v>
      </c>
      <c r="E73" s="89">
        <v>3</v>
      </c>
      <c r="F73" s="90">
        <v>1958.2745833333329</v>
      </c>
      <c r="G73" s="90">
        <v>79.795225725394261</v>
      </c>
      <c r="H73" s="98">
        <v>5.0366071156885848E-4</v>
      </c>
      <c r="I73" s="1"/>
      <c r="J73" s="1"/>
      <c r="K73" s="1"/>
      <c r="L73" s="1"/>
      <c r="M73" s="1"/>
      <c r="N73" s="1"/>
      <c r="O73" s="1"/>
      <c r="P73" s="184"/>
      <c r="Q73" s="93" t="s">
        <v>270</v>
      </c>
      <c r="R73" s="105"/>
      <c r="S73" s="96"/>
      <c r="T73" s="106">
        <v>-8.6886307430274613E-4</v>
      </c>
      <c r="U73" s="106">
        <v>5.8929378763539484</v>
      </c>
      <c r="V73" s="106">
        <v>0.99933541187331132</v>
      </c>
      <c r="W73" s="107">
        <v>-2.4999999999998579E-2</v>
      </c>
      <c r="X73" s="107">
        <v>28.773233365983273</v>
      </c>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row>
    <row r="74" spans="1:102" ht="34.200000000000003">
      <c r="A74" s="1"/>
      <c r="B74" s="185"/>
      <c r="C74" s="87" t="s">
        <v>143</v>
      </c>
      <c r="D74" s="88">
        <v>98.165000000000049</v>
      </c>
      <c r="E74" s="89">
        <v>4</v>
      </c>
      <c r="F74" s="90">
        <v>24.541250000000012</v>
      </c>
      <c r="G74" s="91"/>
      <c r="H74" s="92"/>
      <c r="I74" s="1"/>
      <c r="J74" s="1"/>
      <c r="K74" s="1"/>
      <c r="L74" s="1"/>
      <c r="M74" s="1"/>
      <c r="N74" s="1"/>
      <c r="O74" s="1"/>
      <c r="P74" s="184" t="s">
        <v>38</v>
      </c>
      <c r="Q74" s="87" t="s">
        <v>269</v>
      </c>
      <c r="R74" s="88">
        <v>5.0617884596672075E-2</v>
      </c>
      <c r="S74" s="90">
        <v>0.82945829188122588</v>
      </c>
      <c r="T74" s="90">
        <v>0</v>
      </c>
      <c r="U74" s="89">
        <v>6</v>
      </c>
      <c r="V74" s="90">
        <v>1</v>
      </c>
      <c r="W74" s="108">
        <v>0</v>
      </c>
      <c r="X74" s="108">
        <v>20.495284010392893</v>
      </c>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row>
    <row r="75" spans="1:102" ht="45.6">
      <c r="A75" s="1"/>
      <c r="B75" s="184"/>
      <c r="C75" s="93" t="s">
        <v>144</v>
      </c>
      <c r="D75" s="94">
        <v>5972.9887499999986</v>
      </c>
      <c r="E75" s="95">
        <v>7</v>
      </c>
      <c r="F75" s="96"/>
      <c r="G75" s="96"/>
      <c r="H75" s="97"/>
      <c r="I75" s="1"/>
      <c r="J75" s="1"/>
      <c r="K75" s="1"/>
      <c r="L75" s="1"/>
      <c r="M75" s="1"/>
      <c r="N75" s="1"/>
      <c r="O75" s="1"/>
      <c r="P75" s="184"/>
      <c r="Q75" s="93" t="s">
        <v>270</v>
      </c>
      <c r="R75" s="105"/>
      <c r="S75" s="96"/>
      <c r="T75" s="106">
        <v>0</v>
      </c>
      <c r="U75" s="106">
        <v>5.9370118249230197</v>
      </c>
      <c r="V75" s="106">
        <v>1</v>
      </c>
      <c r="W75" s="107">
        <v>0</v>
      </c>
      <c r="X75" s="107">
        <v>20.495284010392893</v>
      </c>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row>
    <row r="76" spans="1:102" ht="34.200000000000003">
      <c r="A76" s="1"/>
      <c r="B76" s="184" t="s">
        <v>28</v>
      </c>
      <c r="C76" s="87" t="s">
        <v>142</v>
      </c>
      <c r="D76" s="88">
        <v>12474.813749999998</v>
      </c>
      <c r="E76" s="89">
        <v>3</v>
      </c>
      <c r="F76" s="90">
        <v>4158.2712499999989</v>
      </c>
      <c r="G76" s="90">
        <v>1917.3585014409216</v>
      </c>
      <c r="H76" s="98">
        <v>9.052481920250449E-7</v>
      </c>
      <c r="I76" s="1"/>
      <c r="J76" s="1"/>
      <c r="K76" s="1"/>
      <c r="L76" s="1"/>
      <c r="M76" s="1"/>
      <c r="N76" s="1"/>
      <c r="O76" s="1"/>
      <c r="P76" s="184" t="s">
        <v>249</v>
      </c>
      <c r="Q76" s="87" t="s">
        <v>269</v>
      </c>
      <c r="R76" s="88">
        <v>0.11168555591021304</v>
      </c>
      <c r="S76" s="90">
        <v>0.74960523090465248</v>
      </c>
      <c r="T76" s="90">
        <v>0</v>
      </c>
      <c r="U76" s="89">
        <v>6</v>
      </c>
      <c r="V76" s="90">
        <v>1</v>
      </c>
      <c r="W76" s="108">
        <v>0</v>
      </c>
      <c r="X76" s="108">
        <v>25.511141356931354</v>
      </c>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row>
    <row r="77" spans="1:102" ht="45.6">
      <c r="A77" s="1"/>
      <c r="B77" s="185"/>
      <c r="C77" s="87" t="s">
        <v>143</v>
      </c>
      <c r="D77" s="88">
        <v>8.6750000000000007</v>
      </c>
      <c r="E77" s="89">
        <v>4</v>
      </c>
      <c r="F77" s="90">
        <v>2.1687500000000002</v>
      </c>
      <c r="G77" s="91"/>
      <c r="H77" s="92"/>
      <c r="I77" s="1"/>
      <c r="J77" s="1"/>
      <c r="K77" s="1"/>
      <c r="L77" s="1"/>
      <c r="M77" s="1"/>
      <c r="N77" s="1"/>
      <c r="O77" s="1"/>
      <c r="P77" s="184"/>
      <c r="Q77" s="93" t="s">
        <v>270</v>
      </c>
      <c r="R77" s="105"/>
      <c r="S77" s="96"/>
      <c r="T77" s="106">
        <v>0</v>
      </c>
      <c r="U77" s="106">
        <v>5.866630049228351</v>
      </c>
      <c r="V77" s="106">
        <v>1</v>
      </c>
      <c r="W77" s="107">
        <v>0</v>
      </c>
      <c r="X77" s="107">
        <v>25.511141356931354</v>
      </c>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row>
    <row r="78" spans="1:102" ht="34.200000000000003">
      <c r="A78" s="1"/>
      <c r="B78" s="184"/>
      <c r="C78" s="93" t="s">
        <v>144</v>
      </c>
      <c r="D78" s="94">
        <v>12483.488749999997</v>
      </c>
      <c r="E78" s="95">
        <v>7</v>
      </c>
      <c r="F78" s="96"/>
      <c r="G78" s="96"/>
      <c r="H78" s="97"/>
      <c r="I78" s="1"/>
      <c r="J78" s="1"/>
      <c r="K78" s="1"/>
      <c r="L78" s="1"/>
      <c r="M78" s="1"/>
      <c r="N78" s="1"/>
      <c r="O78" s="1"/>
      <c r="P78" s="184" t="s">
        <v>250</v>
      </c>
      <c r="Q78" s="87" t="s">
        <v>269</v>
      </c>
      <c r="R78" s="88">
        <v>0.12708368111034282</v>
      </c>
      <c r="S78" s="90">
        <v>0.73367617387456652</v>
      </c>
      <c r="T78" s="90">
        <v>0</v>
      </c>
      <c r="U78" s="89">
        <v>6</v>
      </c>
      <c r="V78" s="90">
        <v>1</v>
      </c>
      <c r="W78" s="108">
        <v>0</v>
      </c>
      <c r="X78" s="108">
        <v>18.224891403425886</v>
      </c>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row>
    <row r="79" spans="1:102" ht="45.6">
      <c r="A79" s="1"/>
      <c r="B79" s="184" t="s">
        <v>247</v>
      </c>
      <c r="C79" s="87" t="s">
        <v>142</v>
      </c>
      <c r="D79" s="88">
        <v>6907.2699999999986</v>
      </c>
      <c r="E79" s="89">
        <v>3</v>
      </c>
      <c r="F79" s="90">
        <v>2302.4233333333327</v>
      </c>
      <c r="G79" s="90">
        <v>98.488860371439642</v>
      </c>
      <c r="H79" s="98">
        <v>3.3302871525297032E-4</v>
      </c>
      <c r="I79" s="1"/>
      <c r="J79" s="1"/>
      <c r="K79" s="1"/>
      <c r="L79" s="1"/>
      <c r="M79" s="1"/>
      <c r="N79" s="1"/>
      <c r="O79" s="1"/>
      <c r="P79" s="184"/>
      <c r="Q79" s="93" t="s">
        <v>270</v>
      </c>
      <c r="R79" s="105"/>
      <c r="S79" s="96"/>
      <c r="T79" s="106">
        <v>0</v>
      </c>
      <c r="U79" s="106">
        <v>5.8347143274623265</v>
      </c>
      <c r="V79" s="106">
        <v>1</v>
      </c>
      <c r="W79" s="107">
        <v>0</v>
      </c>
      <c r="X79" s="107">
        <v>18.224891403425886</v>
      </c>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row>
    <row r="80" spans="1:102" ht="34.200000000000003">
      <c r="A80" s="1"/>
      <c r="B80" s="185"/>
      <c r="C80" s="87" t="s">
        <v>143</v>
      </c>
      <c r="D80" s="88">
        <v>93.510000000000105</v>
      </c>
      <c r="E80" s="89">
        <v>4</v>
      </c>
      <c r="F80" s="90">
        <v>23.377500000000026</v>
      </c>
      <c r="G80" s="91"/>
      <c r="H80" s="92"/>
      <c r="I80" s="1"/>
      <c r="J80" s="1"/>
      <c r="K80" s="1"/>
      <c r="L80" s="1"/>
      <c r="M80" s="1"/>
      <c r="N80" s="1"/>
      <c r="O80" s="1"/>
      <c r="P80" s="184" t="s">
        <v>251</v>
      </c>
      <c r="Q80" s="87" t="s">
        <v>269</v>
      </c>
      <c r="R80" s="88">
        <v>0.17128366753604249</v>
      </c>
      <c r="S80" s="90">
        <v>0.69336021297676975</v>
      </c>
      <c r="T80" s="90">
        <v>0</v>
      </c>
      <c r="U80" s="89">
        <v>6</v>
      </c>
      <c r="V80" s="90">
        <v>1</v>
      </c>
      <c r="W80" s="108">
        <v>0</v>
      </c>
      <c r="X80" s="108">
        <v>24.34584153402794</v>
      </c>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row>
    <row r="81" spans="1:102" ht="45.6">
      <c r="A81" s="1"/>
      <c r="B81" s="184"/>
      <c r="C81" s="93" t="s">
        <v>144</v>
      </c>
      <c r="D81" s="94">
        <v>7000.7799999999988</v>
      </c>
      <c r="E81" s="95">
        <v>7</v>
      </c>
      <c r="F81" s="96"/>
      <c r="G81" s="96"/>
      <c r="H81" s="97"/>
      <c r="I81" s="1"/>
      <c r="J81" s="1"/>
      <c r="K81" s="1"/>
      <c r="L81" s="1"/>
      <c r="M81" s="1"/>
      <c r="N81" s="1"/>
      <c r="O81" s="1"/>
      <c r="P81" s="184"/>
      <c r="Q81" s="93" t="s">
        <v>270</v>
      </c>
      <c r="R81" s="105"/>
      <c r="S81" s="96"/>
      <c r="T81" s="106">
        <v>0</v>
      </c>
      <c r="U81" s="106">
        <v>5.7976589044644777</v>
      </c>
      <c r="V81" s="106">
        <v>1</v>
      </c>
      <c r="W81" s="107">
        <v>0</v>
      </c>
      <c r="X81" s="107">
        <v>24.34584153402794</v>
      </c>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row>
    <row r="82" spans="1:102" ht="34.200000000000003">
      <c r="A82" s="1"/>
      <c r="B82" s="184" t="s">
        <v>30</v>
      </c>
      <c r="C82" s="87" t="s">
        <v>142</v>
      </c>
      <c r="D82" s="88">
        <v>5307.85</v>
      </c>
      <c r="E82" s="89">
        <v>3</v>
      </c>
      <c r="F82" s="90">
        <v>1769.2833333333335</v>
      </c>
      <c r="G82" s="90">
        <v>43.155883488830604</v>
      </c>
      <c r="H82" s="98">
        <v>1.6671854324121511E-3</v>
      </c>
      <c r="I82" s="1"/>
      <c r="J82" s="1"/>
      <c r="K82" s="1"/>
      <c r="L82" s="1"/>
      <c r="M82" s="1"/>
      <c r="N82" s="1"/>
      <c r="O82" s="1"/>
      <c r="P82" s="184" t="s">
        <v>41</v>
      </c>
      <c r="Q82" s="87" t="s">
        <v>269</v>
      </c>
      <c r="R82" s="88">
        <v>4.370645092826804E-4</v>
      </c>
      <c r="S82" s="90">
        <v>0.98399846994449136</v>
      </c>
      <c r="T82" s="90">
        <v>1.2855399756875549E-3</v>
      </c>
      <c r="U82" s="89">
        <v>6</v>
      </c>
      <c r="V82" s="90">
        <v>0.99901596375859147</v>
      </c>
      <c r="W82" s="108">
        <v>2.4999999999998579E-2</v>
      </c>
      <c r="X82" s="108">
        <v>19.447080972046507</v>
      </c>
      <c r="Y82" s="1"/>
      <c r="Z82" s="1"/>
      <c r="AA82" s="1"/>
      <c r="AB82" s="1"/>
      <c r="AC82" s="1"/>
      <c r="AD82" s="1"/>
      <c r="AE82" s="1"/>
      <c r="AF82" s="1"/>
      <c r="AG82" s="1"/>
      <c r="AH82" s="1"/>
      <c r="AI82" s="1"/>
      <c r="AJ82" s="1"/>
      <c r="AK82" s="1"/>
      <c r="AL82" s="1"/>
      <c r="AM82" s="1"/>
      <c r="AN82" s="1"/>
      <c r="AO82" s="1"/>
      <c r="AP82" s="1"/>
      <c r="AQ82" s="1"/>
      <c r="AR82" s="1"/>
      <c r="AS82" s="1"/>
      <c r="AT82" s="1"/>
      <c r="AU82" s="1"/>
      <c r="AV82" s="1"/>
      <c r="AW82" s="1"/>
    </row>
    <row r="83" spans="1:102" ht="45.6">
      <c r="A83" s="1"/>
      <c r="B83" s="185"/>
      <c r="C83" s="87" t="s">
        <v>143</v>
      </c>
      <c r="D83" s="88">
        <v>163.99000000000007</v>
      </c>
      <c r="E83" s="89">
        <v>4</v>
      </c>
      <c r="F83" s="90">
        <v>40.997500000000016</v>
      </c>
      <c r="G83" s="91"/>
      <c r="H83" s="92"/>
      <c r="I83" s="1"/>
      <c r="J83" s="1"/>
      <c r="K83" s="1"/>
      <c r="L83" s="1"/>
      <c r="M83" s="1"/>
      <c r="N83" s="1"/>
      <c r="O83" s="1"/>
      <c r="P83" s="184"/>
      <c r="Q83" s="93" t="s">
        <v>270</v>
      </c>
      <c r="R83" s="105"/>
      <c r="S83" s="96"/>
      <c r="T83" s="106">
        <v>1.2855399756875549E-3</v>
      </c>
      <c r="U83" s="106">
        <v>5.9851399559600047</v>
      </c>
      <c r="V83" s="106">
        <v>0.99901606420675437</v>
      </c>
      <c r="W83" s="107">
        <v>2.4999999999998579E-2</v>
      </c>
      <c r="X83" s="107">
        <v>19.447080972046507</v>
      </c>
      <c r="Y83" s="1"/>
      <c r="Z83" s="1"/>
      <c r="AA83" s="1"/>
      <c r="AB83" s="1"/>
      <c r="AC83" s="1"/>
      <c r="AD83" s="1"/>
      <c r="AE83" s="1"/>
      <c r="AF83" s="1"/>
      <c r="AG83" s="1"/>
      <c r="AH83" s="1"/>
      <c r="AI83" s="1"/>
      <c r="AJ83" s="1"/>
      <c r="AK83" s="1"/>
      <c r="AL83" s="1"/>
      <c r="AM83" s="1"/>
      <c r="AN83" s="1"/>
      <c r="AO83" s="1"/>
      <c r="AP83" s="1"/>
      <c r="AQ83" s="1"/>
      <c r="AR83" s="1"/>
      <c r="AS83" s="1"/>
      <c r="AT83" s="1"/>
      <c r="AU83" s="1"/>
      <c r="AV83" s="1"/>
      <c r="AW83" s="1"/>
    </row>
    <row r="84" spans="1:102" ht="34.200000000000003">
      <c r="A84" s="1"/>
      <c r="B84" s="184"/>
      <c r="C84" s="93" t="s">
        <v>144</v>
      </c>
      <c r="D84" s="94">
        <v>5471.84</v>
      </c>
      <c r="E84" s="95">
        <v>7</v>
      </c>
      <c r="F84" s="96"/>
      <c r="G84" s="96"/>
      <c r="H84" s="97"/>
      <c r="I84" s="1"/>
      <c r="J84" s="1"/>
      <c r="K84" s="1"/>
      <c r="L84" s="1"/>
      <c r="M84" s="1"/>
      <c r="N84" s="1"/>
      <c r="O84" s="1"/>
      <c r="P84" s="184" t="s">
        <v>42</v>
      </c>
      <c r="Q84" s="87" t="s">
        <v>269</v>
      </c>
      <c r="R84" s="88">
        <v>0.11997945713312473</v>
      </c>
      <c r="S84" s="90">
        <v>0.7408805327732898</v>
      </c>
      <c r="T84" s="90">
        <v>-1.9205199443764645E-3</v>
      </c>
      <c r="U84" s="89">
        <v>6</v>
      </c>
      <c r="V84" s="90">
        <v>0.99852990920915652</v>
      </c>
      <c r="W84" s="108">
        <v>-4.9999999999997158E-2</v>
      </c>
      <c r="X84" s="108">
        <v>26.034616378967449</v>
      </c>
      <c r="Y84" s="1"/>
      <c r="Z84" s="1"/>
      <c r="AA84" s="1"/>
      <c r="AB84" s="1"/>
      <c r="AC84" s="1"/>
      <c r="AD84" s="1"/>
      <c r="AE84" s="1"/>
      <c r="AF84" s="1"/>
      <c r="AG84" s="1"/>
      <c r="AH84" s="1"/>
      <c r="AI84" s="1"/>
      <c r="AJ84" s="1"/>
      <c r="AK84" s="1"/>
      <c r="AL84" s="1"/>
      <c r="AM84" s="1"/>
      <c r="AN84" s="1"/>
      <c r="AO84" s="1"/>
      <c r="AP84" s="1"/>
      <c r="AQ84" s="1"/>
      <c r="AR84" s="1"/>
      <c r="AS84" s="1"/>
      <c r="AT84" s="1"/>
      <c r="AU84" s="1"/>
      <c r="AV84" s="1"/>
      <c r="AW84" s="1"/>
    </row>
    <row r="85" spans="1:102" ht="45.6">
      <c r="A85" s="1"/>
      <c r="B85" s="184" t="s">
        <v>31</v>
      </c>
      <c r="C85" s="87" t="s">
        <v>142</v>
      </c>
      <c r="D85" s="88">
        <v>9233.4500000000007</v>
      </c>
      <c r="E85" s="89">
        <v>3</v>
      </c>
      <c r="F85" s="90">
        <v>3077.8166666666671</v>
      </c>
      <c r="G85" s="90">
        <v>119.93440493586627</v>
      </c>
      <c r="H85" s="98">
        <v>2.2583449310270001E-4</v>
      </c>
      <c r="I85" s="1"/>
      <c r="J85" s="1"/>
      <c r="K85" s="1"/>
      <c r="L85" s="1"/>
      <c r="M85" s="1"/>
      <c r="N85" s="1"/>
      <c r="O85" s="1"/>
      <c r="P85" s="184"/>
      <c r="Q85" s="93" t="s">
        <v>270</v>
      </c>
      <c r="R85" s="105"/>
      <c r="S85" s="96"/>
      <c r="T85" s="106">
        <v>-1.9205199443764645E-3</v>
      </c>
      <c r="U85" s="106">
        <v>5.8480946584004982</v>
      </c>
      <c r="V85" s="106">
        <v>0.99853147793821329</v>
      </c>
      <c r="W85" s="107">
        <v>-4.9999999999997158E-2</v>
      </c>
      <c r="X85" s="107">
        <v>26.034616378967449</v>
      </c>
      <c r="Y85" s="1"/>
      <c r="Z85" s="1"/>
      <c r="AA85" s="1"/>
      <c r="AB85" s="1"/>
      <c r="AC85" s="1"/>
      <c r="AD85" s="1"/>
      <c r="AE85" s="1"/>
      <c r="AF85" s="1"/>
      <c r="AG85" s="1"/>
      <c r="AH85" s="1"/>
      <c r="AI85" s="1"/>
      <c r="AJ85" s="1"/>
      <c r="AK85" s="1"/>
      <c r="AL85" s="1"/>
      <c r="AM85" s="1"/>
      <c r="AN85" s="1"/>
      <c r="AO85" s="1"/>
      <c r="AP85" s="1"/>
      <c r="AQ85" s="1"/>
      <c r="AR85" s="1"/>
      <c r="AS85" s="1"/>
      <c r="AT85" s="1"/>
      <c r="AU85" s="1"/>
      <c r="AV85" s="1"/>
      <c r="AW85" s="1"/>
    </row>
    <row r="86" spans="1:102" ht="34.200000000000003">
      <c r="A86" s="1"/>
      <c r="B86" s="185"/>
      <c r="C86" s="87" t="s">
        <v>143</v>
      </c>
      <c r="D86" s="88">
        <v>102.64999999999996</v>
      </c>
      <c r="E86" s="89">
        <v>4</v>
      </c>
      <c r="F86" s="90">
        <v>25.662499999999991</v>
      </c>
      <c r="G86" s="91"/>
      <c r="H86" s="92"/>
      <c r="I86" s="1"/>
      <c r="J86" s="1"/>
      <c r="K86" s="1"/>
      <c r="L86" s="1"/>
      <c r="M86" s="1"/>
      <c r="N86" s="1"/>
      <c r="O86" s="1"/>
      <c r="P86" s="184" t="s">
        <v>260</v>
      </c>
      <c r="Q86" s="87" t="s">
        <v>269</v>
      </c>
      <c r="R86" s="88">
        <v>5.6450439357474722E-2</v>
      </c>
      <c r="S86" s="90">
        <v>0.82010197220108128</v>
      </c>
      <c r="T86" s="90">
        <v>3.1077313790478971E-3</v>
      </c>
      <c r="U86" s="89">
        <v>6</v>
      </c>
      <c r="V86" s="90">
        <v>0.99762114317476225</v>
      </c>
      <c r="W86" s="108">
        <v>5.0000000000000711E-2</v>
      </c>
      <c r="X86" s="108">
        <v>16.088906633661178</v>
      </c>
      <c r="Y86" s="1"/>
      <c r="Z86" s="1"/>
      <c r="AA86" s="1"/>
      <c r="AB86" s="1"/>
      <c r="AC86" s="1"/>
      <c r="AD86" s="1"/>
      <c r="AE86" s="1"/>
      <c r="AF86" s="1"/>
      <c r="AG86" s="1"/>
      <c r="AH86" s="1"/>
      <c r="AI86" s="1"/>
      <c r="AJ86" s="1"/>
      <c r="AK86" s="1"/>
      <c r="AL86" s="1"/>
      <c r="AM86" s="1"/>
      <c r="AN86" s="1"/>
      <c r="AO86" s="1"/>
      <c r="AP86" s="1"/>
      <c r="AQ86" s="1"/>
      <c r="AR86" s="1"/>
      <c r="AS86" s="1"/>
      <c r="AT86" s="1"/>
      <c r="AU86" s="1"/>
      <c r="AV86" s="1"/>
      <c r="AW86" s="1"/>
    </row>
    <row r="87" spans="1:102" ht="45.6">
      <c r="A87" s="1"/>
      <c r="B87" s="184"/>
      <c r="C87" s="93" t="s">
        <v>144</v>
      </c>
      <c r="D87" s="94">
        <v>9336.1</v>
      </c>
      <c r="E87" s="95">
        <v>7</v>
      </c>
      <c r="F87" s="96"/>
      <c r="G87" s="96"/>
      <c r="H87" s="97"/>
      <c r="I87" s="1"/>
      <c r="J87" s="1"/>
      <c r="K87" s="1"/>
      <c r="L87" s="1"/>
      <c r="M87" s="1"/>
      <c r="N87" s="1"/>
      <c r="O87" s="1"/>
      <c r="P87" s="184"/>
      <c r="Q87" s="93" t="s">
        <v>270</v>
      </c>
      <c r="R87" s="105"/>
      <c r="S87" s="96"/>
      <c r="T87" s="106">
        <v>3.1077313790478971E-3</v>
      </c>
      <c r="U87" s="106">
        <v>5.8816946054924344</v>
      </c>
      <c r="V87" s="106">
        <v>0.99762310926016473</v>
      </c>
      <c r="W87" s="107">
        <v>5.0000000000000711E-2</v>
      </c>
      <c r="X87" s="107">
        <v>16.088906633661178</v>
      </c>
      <c r="Y87" s="1"/>
      <c r="Z87" s="1"/>
      <c r="AA87" s="1"/>
      <c r="AB87" s="1"/>
      <c r="AC87" s="1"/>
      <c r="AD87" s="1"/>
      <c r="AE87" s="1"/>
      <c r="AF87" s="1"/>
      <c r="AG87" s="1"/>
      <c r="AH87" s="1"/>
      <c r="AI87" s="1"/>
      <c r="AJ87" s="1"/>
      <c r="AK87" s="1"/>
      <c r="AL87" s="1"/>
      <c r="AM87" s="1"/>
      <c r="AN87" s="1"/>
      <c r="AO87" s="1"/>
      <c r="AP87" s="1"/>
      <c r="AQ87" s="1"/>
      <c r="AR87" s="1"/>
      <c r="AS87" s="1"/>
      <c r="AT87" s="1"/>
      <c r="AU87" s="1"/>
      <c r="AV87" s="1"/>
      <c r="AW87" s="1"/>
    </row>
    <row r="88" spans="1:102" ht="34.200000000000003">
      <c r="A88" s="1"/>
      <c r="B88" s="184" t="s">
        <v>32</v>
      </c>
      <c r="C88" s="87" t="s">
        <v>142</v>
      </c>
      <c r="D88" s="88">
        <v>5918.833749999998</v>
      </c>
      <c r="E88" s="89">
        <v>3</v>
      </c>
      <c r="F88" s="90">
        <v>1972.9445833333327</v>
      </c>
      <c r="G88" s="90">
        <v>92.414993071413193</v>
      </c>
      <c r="H88" s="98">
        <v>3.77469911927623E-4</v>
      </c>
      <c r="I88" s="1"/>
      <c r="J88" s="1"/>
      <c r="K88" s="1"/>
      <c r="L88" s="1"/>
      <c r="M88" s="1"/>
      <c r="N88" s="1"/>
      <c r="O88" s="1"/>
      <c r="P88" s="184" t="s">
        <v>44</v>
      </c>
      <c r="Q88" s="87" t="s">
        <v>269</v>
      </c>
      <c r="R88" s="88">
        <v>3.4829310649793319E-2</v>
      </c>
      <c r="S88" s="90">
        <v>0.8581040790934491</v>
      </c>
      <c r="T88" s="90">
        <v>0</v>
      </c>
      <c r="U88" s="89">
        <v>6</v>
      </c>
      <c r="V88" s="90">
        <v>1</v>
      </c>
      <c r="W88" s="108">
        <v>0</v>
      </c>
      <c r="X88" s="108">
        <v>20.237506434011742</v>
      </c>
      <c r="Y88" s="1"/>
      <c r="Z88" s="1"/>
      <c r="AA88" s="1"/>
      <c r="AB88" s="1"/>
      <c r="AC88" s="1"/>
      <c r="AD88" s="1"/>
      <c r="AE88" s="1"/>
      <c r="AF88" s="1"/>
      <c r="AG88" s="1"/>
      <c r="AH88" s="1"/>
      <c r="AI88" s="1"/>
      <c r="AJ88" s="1"/>
      <c r="AK88" s="1"/>
      <c r="AL88" s="1"/>
      <c r="AM88" s="1"/>
      <c r="AN88" s="1"/>
      <c r="AO88" s="1"/>
      <c r="AP88" s="1"/>
      <c r="AQ88" s="1"/>
      <c r="AR88" s="1"/>
      <c r="AS88" s="1"/>
      <c r="AT88" s="1"/>
      <c r="AU88" s="1"/>
      <c r="AV88" s="1"/>
      <c r="AW88" s="1"/>
    </row>
    <row r="89" spans="1:102" ht="45.6">
      <c r="A89" s="1"/>
      <c r="B89" s="185"/>
      <c r="C89" s="87" t="s">
        <v>143</v>
      </c>
      <c r="D89" s="88">
        <v>85.39500000000001</v>
      </c>
      <c r="E89" s="89">
        <v>4</v>
      </c>
      <c r="F89" s="90">
        <v>21.348750000000003</v>
      </c>
      <c r="G89" s="91"/>
      <c r="H89" s="92"/>
      <c r="I89" s="1"/>
      <c r="J89" s="1"/>
      <c r="K89" s="1"/>
      <c r="L89" s="1"/>
      <c r="M89" s="1"/>
      <c r="N89" s="1"/>
      <c r="O89" s="1"/>
      <c r="P89" s="184"/>
      <c r="Q89" s="93" t="s">
        <v>270</v>
      </c>
      <c r="R89" s="105"/>
      <c r="S89" s="96"/>
      <c r="T89" s="106">
        <v>0</v>
      </c>
      <c r="U89" s="106">
        <v>5.7647583834746188</v>
      </c>
      <c r="V89" s="106">
        <v>1</v>
      </c>
      <c r="W89" s="107">
        <v>0</v>
      </c>
      <c r="X89" s="107">
        <v>20.237506434011745</v>
      </c>
      <c r="Y89" s="1"/>
      <c r="Z89" s="1"/>
      <c r="AA89" s="1"/>
      <c r="AB89" s="1"/>
      <c r="AC89" s="1"/>
      <c r="AD89" s="1"/>
      <c r="AE89" s="1"/>
      <c r="AF89" s="1"/>
      <c r="AG89" s="1"/>
      <c r="AH89" s="1"/>
      <c r="AI89" s="1"/>
      <c r="AJ89" s="1"/>
      <c r="AK89" s="1"/>
      <c r="AL89" s="1"/>
      <c r="AM89" s="1"/>
      <c r="AN89" s="1"/>
      <c r="AO89" s="1"/>
      <c r="AP89" s="1"/>
      <c r="AQ89" s="1"/>
      <c r="AR89" s="1"/>
      <c r="AS89" s="1"/>
      <c r="AT89" s="1"/>
      <c r="AU89" s="1"/>
      <c r="AV89" s="1"/>
      <c r="AW89" s="1"/>
    </row>
    <row r="90" spans="1:102" ht="34.200000000000003">
      <c r="A90" s="1"/>
      <c r="B90" s="184"/>
      <c r="C90" s="93" t="s">
        <v>144</v>
      </c>
      <c r="D90" s="94">
        <v>6004.2287499999984</v>
      </c>
      <c r="E90" s="95">
        <v>7</v>
      </c>
      <c r="F90" s="96"/>
      <c r="G90" s="96"/>
      <c r="H90" s="97"/>
      <c r="I90" s="1"/>
      <c r="J90" s="1"/>
      <c r="K90" s="1"/>
      <c r="L90" s="1"/>
      <c r="M90" s="1"/>
      <c r="N90" s="1"/>
      <c r="O90" s="1"/>
      <c r="P90" s="184" t="s">
        <v>252</v>
      </c>
      <c r="Q90" s="87" t="s">
        <v>269</v>
      </c>
      <c r="R90" s="88">
        <v>0.18247330610136558</v>
      </c>
      <c r="S90" s="90">
        <v>0.68416049726822892</v>
      </c>
      <c r="T90" s="90">
        <v>9.1484365476599775E-4</v>
      </c>
      <c r="U90" s="89">
        <v>6</v>
      </c>
      <c r="V90" s="90">
        <v>0.99929971881752511</v>
      </c>
      <c r="W90" s="108">
        <v>2.4999999999998579E-2</v>
      </c>
      <c r="X90" s="108">
        <v>27.32707372430011</v>
      </c>
      <c r="Y90" s="1"/>
      <c r="Z90" s="1"/>
      <c r="AA90" s="1"/>
      <c r="AB90" s="1"/>
      <c r="AC90" s="1"/>
      <c r="AD90" s="1"/>
      <c r="AE90" s="1"/>
      <c r="AF90" s="1"/>
      <c r="AG90" s="1"/>
      <c r="AH90" s="1"/>
      <c r="AI90" s="1"/>
      <c r="AJ90" s="1"/>
      <c r="AK90" s="1"/>
      <c r="AL90" s="1"/>
      <c r="AM90" s="1"/>
      <c r="AN90" s="1"/>
      <c r="AO90" s="1"/>
      <c r="AP90" s="1"/>
      <c r="AQ90" s="1"/>
      <c r="AR90" s="1"/>
      <c r="AS90" s="1"/>
      <c r="AT90" s="1"/>
      <c r="AU90" s="1"/>
      <c r="AV90" s="1"/>
      <c r="AW90" s="1"/>
    </row>
    <row r="91" spans="1:102" ht="45.6">
      <c r="A91" s="1"/>
      <c r="B91" s="184" t="s">
        <v>248</v>
      </c>
      <c r="C91" s="87" t="s">
        <v>142</v>
      </c>
      <c r="D91" s="88">
        <v>4910.5499999999993</v>
      </c>
      <c r="E91" s="89">
        <v>3</v>
      </c>
      <c r="F91" s="90">
        <v>1636.8499999999997</v>
      </c>
      <c r="G91" s="90">
        <v>47.593225267136724</v>
      </c>
      <c r="H91" s="98">
        <v>1.3797668880210377E-3</v>
      </c>
      <c r="I91" s="1"/>
      <c r="J91" s="1"/>
      <c r="K91" s="1"/>
      <c r="L91" s="1"/>
      <c r="M91" s="1"/>
      <c r="N91" s="1"/>
      <c r="O91" s="1"/>
      <c r="P91" s="184"/>
      <c r="Q91" s="93" t="s">
        <v>270</v>
      </c>
      <c r="R91" s="105"/>
      <c r="S91" s="96"/>
      <c r="T91" s="106">
        <v>9.1484365476599786E-4</v>
      </c>
      <c r="U91" s="106">
        <v>5.7731230668889371</v>
      </c>
      <c r="V91" s="106">
        <v>0.99930084887996162</v>
      </c>
      <c r="W91" s="107">
        <v>2.4999999999998579E-2</v>
      </c>
      <c r="X91" s="107">
        <v>27.327073724300107</v>
      </c>
      <c r="Y91" s="1"/>
      <c r="Z91" s="1"/>
      <c r="AA91" s="1"/>
      <c r="AB91" s="1"/>
      <c r="AC91" s="1"/>
      <c r="AD91" s="1"/>
      <c r="AE91" s="1"/>
      <c r="AF91" s="1"/>
      <c r="AG91" s="1"/>
      <c r="AH91" s="1"/>
      <c r="AI91" s="1"/>
      <c r="AJ91" s="1"/>
      <c r="AK91" s="1"/>
      <c r="AL91" s="1"/>
      <c r="AM91" s="1"/>
      <c r="AN91" s="1"/>
      <c r="AO91" s="1"/>
      <c r="AP91" s="1"/>
      <c r="AQ91" s="1"/>
      <c r="AR91" s="1"/>
      <c r="AS91" s="1"/>
      <c r="AT91" s="1"/>
      <c r="AU91" s="1"/>
      <c r="AV91" s="1"/>
      <c r="AW91" s="1"/>
    </row>
    <row r="92" spans="1:102" ht="34.200000000000003">
      <c r="A92" s="1"/>
      <c r="B92" s="185"/>
      <c r="C92" s="87" t="s">
        <v>143</v>
      </c>
      <c r="D92" s="88">
        <v>137.57</v>
      </c>
      <c r="E92" s="89">
        <v>4</v>
      </c>
      <c r="F92" s="90">
        <v>34.392499999999998</v>
      </c>
      <c r="G92" s="91"/>
      <c r="H92" s="92"/>
      <c r="I92" s="1"/>
      <c r="J92" s="1"/>
      <c r="K92" s="1"/>
      <c r="L92" s="1"/>
      <c r="M92" s="1"/>
      <c r="N92" s="1"/>
      <c r="O92" s="1"/>
      <c r="P92" s="184" t="s">
        <v>46</v>
      </c>
      <c r="Q92" s="87" t="s">
        <v>269</v>
      </c>
      <c r="R92" s="88">
        <v>0.19857598903578444</v>
      </c>
      <c r="S92" s="90">
        <v>0.67150105842138508</v>
      </c>
      <c r="T92" s="90">
        <v>0</v>
      </c>
      <c r="U92" s="89">
        <v>6</v>
      </c>
      <c r="V92" s="90">
        <v>1</v>
      </c>
      <c r="W92" s="108">
        <v>0</v>
      </c>
      <c r="X92" s="108">
        <v>23.465329033846224</v>
      </c>
      <c r="Y92" s="1"/>
      <c r="Z92" s="1"/>
      <c r="AA92" s="1"/>
      <c r="AB92" s="1"/>
      <c r="AC92" s="1"/>
      <c r="AD92" s="1"/>
      <c r="AE92" s="1"/>
      <c r="AF92" s="1"/>
      <c r="AG92" s="1"/>
      <c r="AH92" s="1"/>
      <c r="AI92" s="1"/>
      <c r="AJ92" s="1"/>
      <c r="AK92" s="1"/>
      <c r="AL92" s="1"/>
      <c r="AM92" s="1"/>
      <c r="AN92" s="1"/>
      <c r="AO92" s="1"/>
      <c r="AP92" s="1"/>
      <c r="AQ92" s="1"/>
      <c r="AR92" s="1"/>
      <c r="AS92" s="1"/>
      <c r="AT92" s="1"/>
      <c r="AU92" s="1"/>
      <c r="AV92" s="1"/>
      <c r="AW92" s="1"/>
    </row>
    <row r="93" spans="1:102" ht="45.6">
      <c r="A93" s="1"/>
      <c r="B93" s="184"/>
      <c r="C93" s="93" t="s">
        <v>144</v>
      </c>
      <c r="D93" s="94">
        <v>5048.119999999999</v>
      </c>
      <c r="E93" s="95">
        <v>7</v>
      </c>
      <c r="F93" s="96"/>
      <c r="G93" s="96"/>
      <c r="H93" s="97"/>
      <c r="I93" s="1"/>
      <c r="J93" s="1"/>
      <c r="K93" s="1"/>
      <c r="L93" s="1"/>
      <c r="M93" s="1"/>
      <c r="N93" s="1"/>
      <c r="O93" s="1"/>
      <c r="P93" s="184"/>
      <c r="Q93" s="93" t="s">
        <v>270</v>
      </c>
      <c r="R93" s="105"/>
      <c r="S93" s="96"/>
      <c r="T93" s="106">
        <v>0</v>
      </c>
      <c r="U93" s="106">
        <v>5.758440585397647</v>
      </c>
      <c r="V93" s="106">
        <v>1</v>
      </c>
      <c r="W93" s="107">
        <v>0</v>
      </c>
      <c r="X93" s="107">
        <v>23.465329033846224</v>
      </c>
      <c r="Y93" s="1"/>
      <c r="Z93" s="1"/>
      <c r="AA93" s="1"/>
      <c r="AB93" s="1"/>
      <c r="AC93" s="1"/>
      <c r="AD93" s="1"/>
      <c r="AE93" s="1"/>
      <c r="AF93" s="1"/>
      <c r="AG93" s="1"/>
      <c r="AH93" s="1"/>
      <c r="AI93" s="1"/>
      <c r="AJ93" s="1"/>
      <c r="AK93" s="1"/>
      <c r="AL93" s="1"/>
      <c r="AM93" s="1"/>
      <c r="AN93" s="1"/>
      <c r="AO93" s="1"/>
      <c r="AP93" s="1"/>
      <c r="AQ93" s="1"/>
      <c r="AR93" s="1"/>
      <c r="AS93" s="1"/>
      <c r="AT93" s="1"/>
      <c r="AU93" s="1"/>
      <c r="AV93" s="1"/>
      <c r="AW93" s="1"/>
    </row>
    <row r="94" spans="1:102" ht="34.200000000000003">
      <c r="A94" s="1"/>
      <c r="B94" s="184" t="s">
        <v>34</v>
      </c>
      <c r="C94" s="87" t="s">
        <v>142</v>
      </c>
      <c r="D94" s="88">
        <v>5671.01</v>
      </c>
      <c r="E94" s="89">
        <v>3</v>
      </c>
      <c r="F94" s="90">
        <v>1890.3366666666668</v>
      </c>
      <c r="G94" s="90">
        <v>46.776038766883161</v>
      </c>
      <c r="H94" s="98">
        <v>1.4268139170228601E-3</v>
      </c>
      <c r="I94" s="1"/>
      <c r="J94" s="1"/>
      <c r="K94" s="1"/>
      <c r="L94" s="1"/>
      <c r="M94" s="1"/>
      <c r="N94" s="1"/>
      <c r="O94" s="1"/>
      <c r="P94" s="184" t="s">
        <v>253</v>
      </c>
      <c r="Q94" s="87" t="s">
        <v>269</v>
      </c>
      <c r="R94" s="88">
        <v>3.4114062554973151E-2</v>
      </c>
      <c r="S94" s="90">
        <v>0.85954924958363166</v>
      </c>
      <c r="T94" s="90">
        <v>9.5806377970122437E-4</v>
      </c>
      <c r="U94" s="89">
        <v>6</v>
      </c>
      <c r="V94" s="90">
        <v>0.99926663531797988</v>
      </c>
      <c r="W94" s="108">
        <v>2.4999999999998579E-2</v>
      </c>
      <c r="X94" s="108">
        <v>26.094296151969047</v>
      </c>
      <c r="Y94" s="1"/>
      <c r="Z94" s="1"/>
      <c r="AA94" s="1"/>
      <c r="AB94" s="1"/>
      <c r="AC94" s="1"/>
      <c r="AD94" s="1"/>
      <c r="AE94" s="1"/>
      <c r="AF94" s="1"/>
      <c r="AG94" s="1"/>
      <c r="AH94" s="1"/>
      <c r="AI94" s="1"/>
      <c r="AJ94" s="1"/>
      <c r="AK94" s="1"/>
      <c r="AL94" s="1"/>
      <c r="AM94" s="1"/>
      <c r="AN94" s="1"/>
      <c r="AO94" s="1"/>
      <c r="AP94" s="1"/>
      <c r="AQ94" s="1"/>
      <c r="AR94" s="1"/>
      <c r="AS94" s="1"/>
      <c r="AT94" s="1"/>
      <c r="AU94" s="1"/>
      <c r="AV94" s="1"/>
      <c r="AW94" s="1"/>
    </row>
    <row r="95" spans="1:102" ht="45.6">
      <c r="A95" s="1"/>
      <c r="B95" s="185"/>
      <c r="C95" s="87" t="s">
        <v>143</v>
      </c>
      <c r="D95" s="88">
        <v>161.65000000000009</v>
      </c>
      <c r="E95" s="89">
        <v>4</v>
      </c>
      <c r="F95" s="90">
        <v>40.412500000000023</v>
      </c>
      <c r="G95" s="91"/>
      <c r="H95" s="92"/>
      <c r="I95" s="1"/>
      <c r="J95" s="1"/>
      <c r="K95" s="1"/>
      <c r="L95" s="1"/>
      <c r="M95" s="1"/>
      <c r="N95" s="1"/>
      <c r="O95" s="1"/>
      <c r="P95" s="184"/>
      <c r="Q95" s="93" t="s">
        <v>270</v>
      </c>
      <c r="R95" s="105"/>
      <c r="S95" s="96"/>
      <c r="T95" s="106">
        <v>9.5806377970122437E-4</v>
      </c>
      <c r="U95" s="106">
        <v>5.9515160510579594</v>
      </c>
      <c r="V95" s="106">
        <v>0.99926688089815285</v>
      </c>
      <c r="W95" s="107">
        <v>2.4999999999998579E-2</v>
      </c>
      <c r="X95" s="107">
        <v>26.094296151969047</v>
      </c>
      <c r="Y95" s="1"/>
      <c r="Z95" s="1"/>
      <c r="AA95" s="1"/>
      <c r="AB95" s="1"/>
      <c r="AC95" s="1"/>
      <c r="AD95" s="1"/>
      <c r="AE95" s="1"/>
      <c r="AF95" s="1"/>
      <c r="AG95" s="1"/>
      <c r="AH95" s="1"/>
      <c r="AI95" s="1"/>
      <c r="AJ95" s="1"/>
      <c r="AK95" s="1"/>
      <c r="AL95" s="1"/>
      <c r="AM95" s="1"/>
      <c r="AN95" s="1"/>
      <c r="AO95" s="1"/>
      <c r="AP95" s="1"/>
      <c r="AQ95" s="1"/>
      <c r="AR95" s="1"/>
      <c r="AS95" s="1"/>
      <c r="AT95" s="1"/>
      <c r="AU95" s="1"/>
      <c r="AV95" s="1"/>
      <c r="AW95" s="1"/>
    </row>
    <row r="96" spans="1:102" ht="34.200000000000003">
      <c r="A96" s="1"/>
      <c r="B96" s="184"/>
      <c r="C96" s="93" t="s">
        <v>144</v>
      </c>
      <c r="D96" s="94">
        <v>5832.66</v>
      </c>
      <c r="E96" s="95">
        <v>7</v>
      </c>
      <c r="F96" s="96"/>
      <c r="G96" s="96"/>
      <c r="H96" s="97"/>
      <c r="I96" s="1"/>
      <c r="J96" s="1"/>
      <c r="K96" s="1"/>
      <c r="L96" s="1"/>
      <c r="M96" s="1"/>
      <c r="N96" s="1"/>
      <c r="O96" s="1"/>
      <c r="P96" s="184" t="s">
        <v>261</v>
      </c>
      <c r="Q96" s="87" t="s">
        <v>269</v>
      </c>
      <c r="R96" s="88">
        <v>7.5853262131414037E-2</v>
      </c>
      <c r="S96" s="90">
        <v>0.79223676829558254</v>
      </c>
      <c r="T96" s="90">
        <v>-1.3165118235683062E-3</v>
      </c>
      <c r="U96" s="89">
        <v>6</v>
      </c>
      <c r="V96" s="90">
        <v>0.9989922558995955</v>
      </c>
      <c r="W96" s="108">
        <v>-2.4999999999998579E-2</v>
      </c>
      <c r="X96" s="108">
        <v>18.989574990855729</v>
      </c>
      <c r="Y96" s="1"/>
      <c r="Z96" s="1"/>
      <c r="AA96" s="1"/>
      <c r="AB96" s="1"/>
      <c r="AC96" s="1"/>
      <c r="AD96" s="1"/>
      <c r="AE96" s="1"/>
      <c r="AF96" s="1"/>
      <c r="AG96" s="1"/>
      <c r="AH96" s="1"/>
      <c r="AI96" s="1"/>
      <c r="AJ96" s="1"/>
      <c r="AK96" s="1"/>
      <c r="AL96" s="1"/>
      <c r="AM96" s="1"/>
      <c r="AN96" s="1"/>
      <c r="AO96" s="1"/>
      <c r="AP96" s="1"/>
      <c r="AQ96" s="1"/>
      <c r="AR96" s="1"/>
      <c r="AS96" s="1"/>
      <c r="AT96" s="1"/>
      <c r="AU96" s="1"/>
      <c r="AV96" s="1"/>
      <c r="AW96" s="1"/>
    </row>
    <row r="97" spans="1:49" ht="45.6">
      <c r="A97" s="1"/>
      <c r="B97" s="184" t="s">
        <v>35</v>
      </c>
      <c r="C97" s="87" t="s">
        <v>142</v>
      </c>
      <c r="D97" s="88">
        <v>10504.449999999999</v>
      </c>
      <c r="E97" s="89">
        <v>3</v>
      </c>
      <c r="F97" s="90">
        <v>3501.4833333333331</v>
      </c>
      <c r="G97" s="90">
        <v>256.09678795636006</v>
      </c>
      <c r="H97" s="98">
        <v>5.0212153628949168E-5</v>
      </c>
      <c r="I97" s="1"/>
      <c r="J97" s="1"/>
      <c r="K97" s="1"/>
      <c r="L97" s="1"/>
      <c r="M97" s="1"/>
      <c r="N97" s="1"/>
      <c r="O97" s="1"/>
      <c r="P97" s="184"/>
      <c r="Q97" s="93" t="s">
        <v>270</v>
      </c>
      <c r="R97" s="105"/>
      <c r="S97" s="96"/>
      <c r="T97" s="106">
        <v>-1.3165118235683062E-3</v>
      </c>
      <c r="U97" s="106">
        <v>5.9799112780519401</v>
      </c>
      <c r="V97" s="106">
        <v>0.99899239508070492</v>
      </c>
      <c r="W97" s="107">
        <v>-2.4999999999998579E-2</v>
      </c>
      <c r="X97" s="107">
        <v>18.989574990855729</v>
      </c>
      <c r="Y97" s="1"/>
      <c r="Z97" s="1"/>
      <c r="AA97" s="1"/>
      <c r="AB97" s="1"/>
      <c r="AC97" s="1"/>
      <c r="AD97" s="1"/>
      <c r="AE97" s="1"/>
      <c r="AF97" s="1"/>
      <c r="AG97" s="1"/>
      <c r="AH97" s="1"/>
      <c r="AI97" s="1"/>
      <c r="AJ97" s="1"/>
      <c r="AK97" s="1"/>
      <c r="AL97" s="1"/>
      <c r="AM97" s="1"/>
      <c r="AN97" s="1"/>
      <c r="AO97" s="1"/>
      <c r="AP97" s="1"/>
      <c r="AQ97" s="1"/>
      <c r="AR97" s="1"/>
      <c r="AS97" s="1"/>
      <c r="AT97" s="1"/>
      <c r="AU97" s="1"/>
      <c r="AV97" s="1"/>
      <c r="AW97" s="1"/>
    </row>
    <row r="98" spans="1:49" ht="34.200000000000003">
      <c r="A98" s="1"/>
      <c r="B98" s="185"/>
      <c r="C98" s="87" t="s">
        <v>143</v>
      </c>
      <c r="D98" s="88">
        <v>54.69</v>
      </c>
      <c r="E98" s="89">
        <v>4</v>
      </c>
      <c r="F98" s="90">
        <v>13.672499999999999</v>
      </c>
      <c r="G98" s="91"/>
      <c r="H98" s="92"/>
      <c r="I98" s="1"/>
      <c r="J98" s="1"/>
      <c r="K98" s="1"/>
      <c r="L98" s="1"/>
      <c r="M98" s="1"/>
      <c r="N98" s="1"/>
      <c r="O98" s="1"/>
      <c r="P98" s="184" t="s">
        <v>49</v>
      </c>
      <c r="Q98" s="87" t="s">
        <v>269</v>
      </c>
      <c r="R98" s="88">
        <v>0.44409839655466066</v>
      </c>
      <c r="S98" s="90">
        <v>0.52992627228296307</v>
      </c>
      <c r="T98" s="90">
        <v>0</v>
      </c>
      <c r="U98" s="89">
        <v>6</v>
      </c>
      <c r="V98" s="90">
        <v>1</v>
      </c>
      <c r="W98" s="108">
        <v>0</v>
      </c>
      <c r="X98" s="108">
        <v>22.424911742672847</v>
      </c>
      <c r="Y98" s="1"/>
      <c r="Z98" s="1"/>
      <c r="AA98" s="1"/>
      <c r="AB98" s="1"/>
      <c r="AC98" s="1"/>
      <c r="AD98" s="1"/>
      <c r="AE98" s="1"/>
      <c r="AF98" s="1"/>
      <c r="AG98" s="1"/>
      <c r="AH98" s="1"/>
      <c r="AI98" s="1"/>
      <c r="AJ98" s="1"/>
      <c r="AK98" s="1"/>
      <c r="AL98" s="1"/>
      <c r="AM98" s="1"/>
      <c r="AN98" s="1"/>
      <c r="AO98" s="1"/>
      <c r="AP98" s="1"/>
      <c r="AQ98" s="1"/>
      <c r="AR98" s="1"/>
      <c r="AS98" s="1"/>
      <c r="AT98" s="1"/>
      <c r="AU98" s="1"/>
      <c r="AV98" s="1"/>
      <c r="AW98" s="1"/>
    </row>
    <row r="99" spans="1:49" ht="45.6">
      <c r="A99" s="1"/>
      <c r="B99" s="184"/>
      <c r="C99" s="93" t="s">
        <v>144</v>
      </c>
      <c r="D99" s="94">
        <v>10559.14</v>
      </c>
      <c r="E99" s="95">
        <v>7</v>
      </c>
      <c r="F99" s="96"/>
      <c r="G99" s="96"/>
      <c r="H99" s="97"/>
      <c r="I99" s="1"/>
      <c r="J99" s="1"/>
      <c r="K99" s="1"/>
      <c r="L99" s="1"/>
      <c r="M99" s="1"/>
      <c r="N99" s="1"/>
      <c r="O99" s="1"/>
      <c r="P99" s="184"/>
      <c r="Q99" s="93" t="s">
        <v>270</v>
      </c>
      <c r="R99" s="105"/>
      <c r="S99" s="96"/>
      <c r="T99" s="106">
        <v>0</v>
      </c>
      <c r="U99" s="106">
        <v>5.4807416853912923</v>
      </c>
      <c r="V99" s="106">
        <v>1</v>
      </c>
      <c r="W99" s="107">
        <v>0</v>
      </c>
      <c r="X99" s="107">
        <v>22.424911742672847</v>
      </c>
      <c r="Y99" s="1"/>
      <c r="Z99" s="1"/>
      <c r="AA99" s="1"/>
      <c r="AB99" s="1"/>
      <c r="AC99" s="1"/>
      <c r="AD99" s="1"/>
      <c r="AE99" s="1"/>
      <c r="AF99" s="1"/>
      <c r="AG99" s="1"/>
      <c r="AH99" s="1"/>
      <c r="AI99" s="1"/>
      <c r="AJ99" s="1"/>
      <c r="AK99" s="1"/>
      <c r="AL99" s="1"/>
      <c r="AM99" s="1"/>
      <c r="AN99" s="1"/>
      <c r="AO99" s="1"/>
      <c r="AP99" s="1"/>
      <c r="AQ99" s="1"/>
      <c r="AR99" s="1"/>
      <c r="AS99" s="1"/>
      <c r="AT99" s="1"/>
      <c r="AU99" s="1"/>
      <c r="AV99" s="1"/>
      <c r="AW99" s="1"/>
    </row>
    <row r="100" spans="1:49" ht="34.200000000000003">
      <c r="A100" s="1"/>
      <c r="B100" s="184" t="s">
        <v>36</v>
      </c>
      <c r="C100" s="87" t="s">
        <v>142</v>
      </c>
      <c r="D100" s="88">
        <v>5379.2200000000012</v>
      </c>
      <c r="E100" s="89">
        <v>3</v>
      </c>
      <c r="F100" s="90">
        <v>1793.0733333333337</v>
      </c>
      <c r="G100" s="90">
        <v>73.052488626332561</v>
      </c>
      <c r="H100" s="98">
        <v>5.9880710759293188E-4</v>
      </c>
      <c r="I100" s="1"/>
      <c r="J100" s="1"/>
      <c r="K100" s="1"/>
      <c r="L100" s="1"/>
      <c r="M100" s="1"/>
      <c r="N100" s="1"/>
      <c r="O100" s="1"/>
      <c r="P100" s="184" t="s">
        <v>254</v>
      </c>
      <c r="Q100" s="87" t="s">
        <v>269</v>
      </c>
      <c r="R100" s="88">
        <v>6.2547304423351491E-2</v>
      </c>
      <c r="S100" s="90">
        <v>0.8108571570452312</v>
      </c>
      <c r="T100" s="90">
        <v>0</v>
      </c>
      <c r="U100" s="89">
        <v>6</v>
      </c>
      <c r="V100" s="90">
        <v>1</v>
      </c>
      <c r="W100" s="108">
        <v>0</v>
      </c>
      <c r="X100" s="108">
        <v>27.942947828268466</v>
      </c>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row>
    <row r="101" spans="1:49" ht="45.6">
      <c r="A101" s="1"/>
      <c r="B101" s="185"/>
      <c r="C101" s="87" t="s">
        <v>143</v>
      </c>
      <c r="D101" s="88">
        <v>98.180000000000064</v>
      </c>
      <c r="E101" s="89">
        <v>4</v>
      </c>
      <c r="F101" s="90">
        <v>24.545000000000016</v>
      </c>
      <c r="G101" s="91"/>
      <c r="H101" s="92"/>
      <c r="I101" s="1"/>
      <c r="J101" s="1"/>
      <c r="K101" s="1"/>
      <c r="L101" s="1"/>
      <c r="M101" s="1"/>
      <c r="N101" s="1"/>
      <c r="O101" s="1"/>
      <c r="P101" s="184"/>
      <c r="Q101" s="93" t="s">
        <v>270</v>
      </c>
      <c r="R101" s="105"/>
      <c r="S101" s="96"/>
      <c r="T101" s="106">
        <v>0</v>
      </c>
      <c r="U101" s="106">
        <v>5.9234968722489523</v>
      </c>
      <c r="V101" s="106">
        <v>1</v>
      </c>
      <c r="W101" s="107">
        <v>0</v>
      </c>
      <c r="X101" s="107">
        <v>27.942947828268466</v>
      </c>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row>
    <row r="102" spans="1:49" ht="34.200000000000003">
      <c r="A102" s="1"/>
      <c r="B102" s="184"/>
      <c r="C102" s="93" t="s">
        <v>144</v>
      </c>
      <c r="D102" s="94">
        <v>5477.4000000000015</v>
      </c>
      <c r="E102" s="95">
        <v>7</v>
      </c>
      <c r="F102" s="96"/>
      <c r="G102" s="96"/>
      <c r="H102" s="97"/>
      <c r="I102" s="1"/>
      <c r="J102" s="1"/>
      <c r="K102" s="1"/>
      <c r="L102" s="1"/>
      <c r="M102" s="1"/>
      <c r="N102" s="1"/>
      <c r="O102" s="1"/>
      <c r="P102" s="184" t="s">
        <v>51</v>
      </c>
      <c r="Q102" s="87" t="s">
        <v>269</v>
      </c>
      <c r="R102" s="88">
        <v>0.11696578551852177</v>
      </c>
      <c r="S102" s="90">
        <v>0.74401000446833199</v>
      </c>
      <c r="T102" s="90">
        <v>0</v>
      </c>
      <c r="U102" s="89">
        <v>6</v>
      </c>
      <c r="V102" s="90">
        <v>1</v>
      </c>
      <c r="W102" s="108">
        <v>0</v>
      </c>
      <c r="X102" s="108">
        <v>30.432055467877948</v>
      </c>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row>
    <row r="103" spans="1:49" ht="45.6">
      <c r="A103" s="1"/>
      <c r="B103" s="184" t="s">
        <v>37</v>
      </c>
      <c r="C103" s="87" t="s">
        <v>142</v>
      </c>
      <c r="D103" s="88">
        <v>9881.5037500000017</v>
      </c>
      <c r="E103" s="89">
        <v>3</v>
      </c>
      <c r="F103" s="90">
        <v>3293.8345833333337</v>
      </c>
      <c r="G103" s="90">
        <v>247.26167464264515</v>
      </c>
      <c r="H103" s="98">
        <v>5.3841359472087617E-5</v>
      </c>
      <c r="I103" s="1"/>
      <c r="J103" s="1"/>
      <c r="K103" s="1"/>
      <c r="L103" s="1"/>
      <c r="M103" s="1"/>
      <c r="N103" s="1"/>
      <c r="O103" s="1"/>
      <c r="P103" s="184"/>
      <c r="Q103" s="93" t="s">
        <v>270</v>
      </c>
      <c r="R103" s="105"/>
      <c r="S103" s="96"/>
      <c r="T103" s="106">
        <v>0</v>
      </c>
      <c r="U103" s="106">
        <v>5.8549381102545031</v>
      </c>
      <c r="V103" s="106">
        <v>1</v>
      </c>
      <c r="W103" s="107">
        <v>0</v>
      </c>
      <c r="X103" s="107">
        <v>30.432055467877948</v>
      </c>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row>
    <row r="104" spans="1:49" ht="34.200000000000003">
      <c r="A104" s="1"/>
      <c r="B104" s="185"/>
      <c r="C104" s="87" t="s">
        <v>143</v>
      </c>
      <c r="D104" s="88">
        <v>53.284999999999954</v>
      </c>
      <c r="E104" s="89">
        <v>4</v>
      </c>
      <c r="F104" s="90">
        <v>13.321249999999988</v>
      </c>
      <c r="G104" s="91"/>
      <c r="H104" s="92"/>
      <c r="I104" s="1"/>
      <c r="J104" s="1"/>
      <c r="K104" s="1"/>
      <c r="L104" s="1"/>
      <c r="M104" s="1"/>
      <c r="N104" s="1"/>
      <c r="O104" s="1"/>
      <c r="P104" s="184" t="s">
        <v>52</v>
      </c>
      <c r="Q104" s="87" t="s">
        <v>269</v>
      </c>
      <c r="R104" s="88">
        <v>0.40089330549462132</v>
      </c>
      <c r="S104" s="90">
        <v>0.54998409906546697</v>
      </c>
      <c r="T104" s="90">
        <v>0</v>
      </c>
      <c r="U104" s="89">
        <v>6</v>
      </c>
      <c r="V104" s="90">
        <v>1</v>
      </c>
      <c r="W104" s="108">
        <v>0</v>
      </c>
      <c r="X104" s="108">
        <v>23.447636696832937</v>
      </c>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row>
    <row r="105" spans="1:49" ht="45.6">
      <c r="A105" s="1"/>
      <c r="B105" s="184"/>
      <c r="C105" s="93" t="s">
        <v>144</v>
      </c>
      <c r="D105" s="94">
        <v>9934.7887500000015</v>
      </c>
      <c r="E105" s="95">
        <v>7</v>
      </c>
      <c r="F105" s="96"/>
      <c r="G105" s="96"/>
      <c r="H105" s="97"/>
      <c r="I105" s="1"/>
      <c r="J105" s="1"/>
      <c r="K105" s="1"/>
      <c r="L105" s="1"/>
      <c r="M105" s="1"/>
      <c r="N105" s="1"/>
      <c r="O105" s="1"/>
      <c r="P105" s="184"/>
      <c r="Q105" s="93" t="s">
        <v>270</v>
      </c>
      <c r="R105" s="105"/>
      <c r="S105" s="96"/>
      <c r="T105" s="106">
        <v>0</v>
      </c>
      <c r="U105" s="106">
        <v>5.5301814919767045</v>
      </c>
      <c r="V105" s="106">
        <v>1</v>
      </c>
      <c r="W105" s="107">
        <v>0</v>
      </c>
      <c r="X105" s="107">
        <v>23.447636696832937</v>
      </c>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row>
    <row r="106" spans="1:49" ht="34.200000000000003">
      <c r="A106" s="1"/>
      <c r="B106" s="184" t="s">
        <v>38</v>
      </c>
      <c r="C106" s="87" t="s">
        <v>142</v>
      </c>
      <c r="D106" s="88">
        <v>5005.6000000000013</v>
      </c>
      <c r="E106" s="89">
        <v>3</v>
      </c>
      <c r="F106" s="90">
        <v>1668.5333333333338</v>
      </c>
      <c r="G106" s="90">
        <v>190.2546560243255</v>
      </c>
      <c r="H106" s="98">
        <v>9.0600839308471458E-5</v>
      </c>
      <c r="I106" s="1"/>
      <c r="J106" s="1"/>
      <c r="K106" s="1"/>
      <c r="L106" s="1"/>
      <c r="M106" s="1"/>
      <c r="N106" s="1"/>
      <c r="O106" s="1"/>
      <c r="P106" s="184" t="s">
        <v>255</v>
      </c>
      <c r="Q106" s="87" t="s">
        <v>269</v>
      </c>
      <c r="R106" s="88">
        <v>0.17873475909731334</v>
      </c>
      <c r="S106" s="90">
        <v>0.68719552484226998</v>
      </c>
      <c r="T106" s="90">
        <v>0</v>
      </c>
      <c r="U106" s="89">
        <v>6</v>
      </c>
      <c r="V106" s="90">
        <v>1</v>
      </c>
      <c r="W106" s="108">
        <v>0</v>
      </c>
      <c r="X106" s="108">
        <v>19.53774125464183</v>
      </c>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row>
    <row r="107" spans="1:49" ht="45.6">
      <c r="A107" s="1"/>
      <c r="B107" s="185"/>
      <c r="C107" s="87" t="s">
        <v>143</v>
      </c>
      <c r="D107" s="88">
        <v>35.079999999999984</v>
      </c>
      <c r="E107" s="89">
        <v>4</v>
      </c>
      <c r="F107" s="90">
        <v>8.769999999999996</v>
      </c>
      <c r="G107" s="91"/>
      <c r="H107" s="92"/>
      <c r="I107" s="1"/>
      <c r="J107" s="1"/>
      <c r="K107" s="1"/>
      <c r="L107" s="1"/>
      <c r="M107" s="1"/>
      <c r="N107" s="1"/>
      <c r="O107" s="1"/>
      <c r="P107" s="184"/>
      <c r="Q107" s="93" t="s">
        <v>270</v>
      </c>
      <c r="R107" s="105"/>
      <c r="S107" s="96"/>
      <c r="T107" s="106">
        <v>0</v>
      </c>
      <c r="U107" s="106">
        <v>5.6380378590270404</v>
      </c>
      <c r="V107" s="106">
        <v>1</v>
      </c>
      <c r="W107" s="107">
        <v>0</v>
      </c>
      <c r="X107" s="107">
        <v>19.53774125464183</v>
      </c>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row>
    <row r="108" spans="1:49" ht="34.200000000000003">
      <c r="A108" s="1"/>
      <c r="B108" s="184"/>
      <c r="C108" s="93" t="s">
        <v>144</v>
      </c>
      <c r="D108" s="94">
        <v>5040.6800000000012</v>
      </c>
      <c r="E108" s="95">
        <v>7</v>
      </c>
      <c r="F108" s="96"/>
      <c r="G108" s="96"/>
      <c r="H108" s="97"/>
      <c r="I108" s="1"/>
      <c r="J108" s="1"/>
      <c r="K108" s="1"/>
      <c r="L108" s="1"/>
      <c r="M108" s="1"/>
      <c r="N108" s="1"/>
      <c r="O108" s="1"/>
      <c r="P108" s="184" t="s">
        <v>54</v>
      </c>
      <c r="Q108" s="87" t="s">
        <v>269</v>
      </c>
      <c r="R108" s="88">
        <v>0.36480220749553294</v>
      </c>
      <c r="S108" s="90">
        <v>0.56796970073659847</v>
      </c>
      <c r="T108" s="90">
        <v>0</v>
      </c>
      <c r="U108" s="89">
        <v>6</v>
      </c>
      <c r="V108" s="90">
        <v>1</v>
      </c>
      <c r="W108" s="108">
        <v>0</v>
      </c>
      <c r="X108" s="108">
        <v>19.238069896258651</v>
      </c>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row>
    <row r="109" spans="1:49" ht="45.6">
      <c r="A109" s="1"/>
      <c r="B109" s="184" t="s">
        <v>249</v>
      </c>
      <c r="C109" s="87" t="s">
        <v>142</v>
      </c>
      <c r="D109" s="88">
        <v>7747.4500000000007</v>
      </c>
      <c r="E109" s="89">
        <v>3</v>
      </c>
      <c r="F109" s="90">
        <v>2582.4833333333336</v>
      </c>
      <c r="G109" s="90">
        <v>165.62343006787432</v>
      </c>
      <c r="H109" s="98">
        <v>1.1926453579533704E-4</v>
      </c>
      <c r="I109" s="1"/>
      <c r="J109" s="1"/>
      <c r="K109" s="1"/>
      <c r="L109" s="1"/>
      <c r="M109" s="1"/>
      <c r="N109" s="1"/>
      <c r="O109" s="1"/>
      <c r="P109" s="184"/>
      <c r="Q109" s="93" t="s">
        <v>270</v>
      </c>
      <c r="R109" s="105"/>
      <c r="S109" s="96"/>
      <c r="T109" s="106">
        <v>0</v>
      </c>
      <c r="U109" s="106">
        <v>5.563399497857076</v>
      </c>
      <c r="V109" s="106">
        <v>1</v>
      </c>
      <c r="W109" s="107">
        <v>0</v>
      </c>
      <c r="X109" s="107">
        <v>19.238069896258651</v>
      </c>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row>
    <row r="110" spans="1:49" ht="34.200000000000003">
      <c r="A110" s="1"/>
      <c r="B110" s="185"/>
      <c r="C110" s="87" t="s">
        <v>143</v>
      </c>
      <c r="D110" s="88">
        <v>62.370000000000076</v>
      </c>
      <c r="E110" s="89">
        <v>4</v>
      </c>
      <c r="F110" s="90">
        <v>15.592500000000019</v>
      </c>
      <c r="G110" s="91"/>
      <c r="H110" s="92"/>
      <c r="I110" s="1"/>
      <c r="J110" s="1"/>
      <c r="K110" s="1"/>
      <c r="L110" s="1"/>
      <c r="M110" s="1"/>
      <c r="N110" s="1"/>
      <c r="O110" s="1"/>
      <c r="P110" s="184" t="s">
        <v>262</v>
      </c>
      <c r="Q110" s="87" t="s">
        <v>269</v>
      </c>
      <c r="R110" s="88">
        <v>0.27119908258450287</v>
      </c>
      <c r="S110" s="90">
        <v>0.62118032958981828</v>
      </c>
      <c r="T110" s="90">
        <v>-9.1074693829089857E-4</v>
      </c>
      <c r="U110" s="89">
        <v>6</v>
      </c>
      <c r="V110" s="90">
        <v>0.99930285471130864</v>
      </c>
      <c r="W110" s="108">
        <v>-2.5000000000002132E-2</v>
      </c>
      <c r="X110" s="108">
        <v>27.449996205221353</v>
      </c>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row>
    <row r="111" spans="1:49" ht="45.6">
      <c r="A111" s="1"/>
      <c r="B111" s="184"/>
      <c r="C111" s="93" t="s">
        <v>144</v>
      </c>
      <c r="D111" s="94">
        <v>7809.8200000000006</v>
      </c>
      <c r="E111" s="95">
        <v>7</v>
      </c>
      <c r="F111" s="96"/>
      <c r="G111" s="96"/>
      <c r="H111" s="97"/>
      <c r="I111" s="1"/>
      <c r="J111" s="1"/>
      <c r="K111" s="1"/>
      <c r="L111" s="1"/>
      <c r="M111" s="1"/>
      <c r="N111" s="1"/>
      <c r="O111" s="1"/>
      <c r="P111" s="184"/>
      <c r="Q111" s="93" t="s">
        <v>270</v>
      </c>
      <c r="R111" s="105"/>
      <c r="S111" s="96"/>
      <c r="T111" s="106">
        <v>-9.1074693829089857E-4</v>
      </c>
      <c r="U111" s="106">
        <v>5.690795686269686</v>
      </c>
      <c r="V111" s="106">
        <v>0.99930440934105735</v>
      </c>
      <c r="W111" s="107">
        <v>-2.5000000000002132E-2</v>
      </c>
      <c r="X111" s="107">
        <v>27.449996205221353</v>
      </c>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row>
    <row r="112" spans="1:49" ht="34.200000000000003">
      <c r="A112" s="1"/>
      <c r="B112" s="184" t="s">
        <v>250</v>
      </c>
      <c r="C112" s="87" t="s">
        <v>142</v>
      </c>
      <c r="D112" s="88">
        <v>3933.9100000000003</v>
      </c>
      <c r="E112" s="89">
        <v>3</v>
      </c>
      <c r="F112" s="90">
        <v>1311.3033333333335</v>
      </c>
      <c r="G112" s="90">
        <v>101.16129861780769</v>
      </c>
      <c r="H112" s="98">
        <v>3.1592540713468187E-4</v>
      </c>
      <c r="I112" s="1"/>
      <c r="J112" s="1"/>
      <c r="K112" s="1"/>
      <c r="L112" s="1"/>
      <c r="M112" s="1"/>
      <c r="N112" s="1"/>
      <c r="O112" s="1"/>
      <c r="P112" s="184" t="s">
        <v>56</v>
      </c>
      <c r="Q112" s="87" t="s">
        <v>269</v>
      </c>
      <c r="R112" s="88">
        <v>0.19626536384195478</v>
      </c>
      <c r="S112" s="90">
        <v>0.67327819976558967</v>
      </c>
      <c r="T112" s="90">
        <v>1.2222604021089292E-3</v>
      </c>
      <c r="U112" s="89">
        <v>6</v>
      </c>
      <c r="V112" s="90">
        <v>0.99906440204740932</v>
      </c>
      <c r="W112" s="108">
        <v>2.4999999999998579E-2</v>
      </c>
      <c r="X112" s="108">
        <v>20.453906513589686</v>
      </c>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row>
    <row r="113" spans="1:49" ht="45.6">
      <c r="A113" s="1"/>
      <c r="B113" s="185"/>
      <c r="C113" s="87" t="s">
        <v>143</v>
      </c>
      <c r="D113" s="88">
        <v>51.850000000000051</v>
      </c>
      <c r="E113" s="89">
        <v>4</v>
      </c>
      <c r="F113" s="90">
        <v>12.962500000000013</v>
      </c>
      <c r="G113" s="91"/>
      <c r="H113" s="92"/>
      <c r="I113" s="1"/>
      <c r="J113" s="1"/>
      <c r="K113" s="1"/>
      <c r="L113" s="1"/>
      <c r="M113" s="1"/>
      <c r="N113" s="1"/>
      <c r="O113" s="1"/>
      <c r="P113" s="184"/>
      <c r="Q113" s="93" t="s">
        <v>270</v>
      </c>
      <c r="R113" s="105"/>
      <c r="S113" s="96"/>
      <c r="T113" s="106">
        <v>1.2222604021089292E-3</v>
      </c>
      <c r="U113" s="106">
        <v>5.7594361256187572</v>
      </c>
      <c r="V113" s="106">
        <v>0.99906600660152312</v>
      </c>
      <c r="W113" s="107">
        <v>2.4999999999998579E-2</v>
      </c>
      <c r="X113" s="107">
        <v>20.453906513589686</v>
      </c>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row>
    <row r="114" spans="1:49" ht="34.200000000000003">
      <c r="A114" s="1"/>
      <c r="B114" s="184"/>
      <c r="C114" s="93" t="s">
        <v>144</v>
      </c>
      <c r="D114" s="94">
        <v>3985.76</v>
      </c>
      <c r="E114" s="95">
        <v>7</v>
      </c>
      <c r="F114" s="96"/>
      <c r="G114" s="96"/>
      <c r="H114" s="97"/>
      <c r="I114" s="1"/>
      <c r="J114" s="1"/>
      <c r="K114" s="1"/>
      <c r="L114" s="1"/>
      <c r="M114" s="1"/>
      <c r="N114" s="1"/>
      <c r="O114" s="1"/>
      <c r="P114" s="184" t="s">
        <v>57</v>
      </c>
      <c r="Q114" s="87" t="s">
        <v>269</v>
      </c>
      <c r="R114" s="88">
        <v>0.64885107646060192</v>
      </c>
      <c r="S114" s="90">
        <v>0.45125753791123524</v>
      </c>
      <c r="T114" s="90">
        <v>1.9719010314787025E-16</v>
      </c>
      <c r="U114" s="89">
        <v>6</v>
      </c>
      <c r="V114" s="90">
        <v>1</v>
      </c>
      <c r="W114" s="108">
        <v>3.5527136788005009E-15</v>
      </c>
      <c r="X114" s="108">
        <v>18.016693647836718</v>
      </c>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row>
    <row r="115" spans="1:49" ht="45.6">
      <c r="A115" s="1"/>
      <c r="B115" s="184" t="s">
        <v>251</v>
      </c>
      <c r="C115" s="87" t="s">
        <v>142</v>
      </c>
      <c r="D115" s="88">
        <v>7026.79</v>
      </c>
      <c r="E115" s="89">
        <v>3</v>
      </c>
      <c r="F115" s="90">
        <v>2342.2633333333333</v>
      </c>
      <c r="G115" s="90">
        <v>109.13282857697553</v>
      </c>
      <c r="H115" s="98">
        <v>2.7206043046534433E-4</v>
      </c>
      <c r="I115" s="1"/>
      <c r="J115" s="1"/>
      <c r="K115" s="1"/>
      <c r="L115" s="1"/>
      <c r="M115" s="1"/>
      <c r="N115" s="1"/>
      <c r="O115" s="1"/>
      <c r="P115" s="184"/>
      <c r="Q115" s="93" t="s">
        <v>270</v>
      </c>
      <c r="R115" s="105"/>
      <c r="S115" s="96"/>
      <c r="T115" s="106">
        <v>1.9719010314787025E-16</v>
      </c>
      <c r="U115" s="106">
        <v>5.1289828929927976</v>
      </c>
      <c r="V115" s="106">
        <v>1</v>
      </c>
      <c r="W115" s="107">
        <v>3.5527136788005009E-15</v>
      </c>
      <c r="X115" s="107">
        <v>18.016693647836718</v>
      </c>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row>
    <row r="116" spans="1:49" ht="34.200000000000003">
      <c r="A116" s="1"/>
      <c r="B116" s="185"/>
      <c r="C116" s="87" t="s">
        <v>143</v>
      </c>
      <c r="D116" s="88">
        <v>85.849999999999852</v>
      </c>
      <c r="E116" s="89">
        <v>4</v>
      </c>
      <c r="F116" s="90">
        <v>21.462499999999963</v>
      </c>
      <c r="G116" s="91"/>
      <c r="H116" s="92"/>
      <c r="I116" s="1"/>
      <c r="J116" s="1"/>
      <c r="K116" s="1"/>
      <c r="L116" s="1"/>
      <c r="M116" s="1"/>
      <c r="N116" s="1"/>
      <c r="O116" s="1"/>
      <c r="P116" s="184" t="s">
        <v>58</v>
      </c>
      <c r="Q116" s="87" t="s">
        <v>269</v>
      </c>
      <c r="R116" s="88">
        <v>9.2248795719479498E-2</v>
      </c>
      <c r="S116" s="90">
        <v>0.77159448145442522</v>
      </c>
      <c r="T116" s="90">
        <v>1.2422999283401893E-3</v>
      </c>
      <c r="U116" s="89">
        <v>6</v>
      </c>
      <c r="V116" s="90">
        <v>0.99904906249413683</v>
      </c>
      <c r="W116" s="108">
        <v>2.4999999999998579E-2</v>
      </c>
      <c r="X116" s="108">
        <v>20.123964776686858</v>
      </c>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row>
    <row r="117" spans="1:49" ht="45.6">
      <c r="A117" s="1"/>
      <c r="B117" s="184"/>
      <c r="C117" s="93" t="s">
        <v>144</v>
      </c>
      <c r="D117" s="94">
        <v>7112.6399999999994</v>
      </c>
      <c r="E117" s="95">
        <v>7</v>
      </c>
      <c r="F117" s="96"/>
      <c r="G117" s="96"/>
      <c r="H117" s="97"/>
      <c r="I117" s="1"/>
      <c r="J117" s="1"/>
      <c r="K117" s="1"/>
      <c r="L117" s="1"/>
      <c r="M117" s="1"/>
      <c r="N117" s="1"/>
      <c r="O117" s="1"/>
      <c r="P117" s="184"/>
      <c r="Q117" s="93" t="s">
        <v>270</v>
      </c>
      <c r="R117" s="105"/>
      <c r="S117" s="96"/>
      <c r="T117" s="106">
        <v>1.2422999283401893E-3</v>
      </c>
      <c r="U117" s="106">
        <v>5.7177283047432805</v>
      </c>
      <c r="V117" s="106">
        <v>0.99905098957369076</v>
      </c>
      <c r="W117" s="107">
        <v>2.4999999999998579E-2</v>
      </c>
      <c r="X117" s="107">
        <v>20.123964776686858</v>
      </c>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row>
    <row r="118" spans="1:49" ht="34.200000000000003">
      <c r="A118" s="1"/>
      <c r="B118" s="184" t="s">
        <v>41</v>
      </c>
      <c r="C118" s="87" t="s">
        <v>142</v>
      </c>
      <c r="D118" s="88">
        <v>4525.6437500000011</v>
      </c>
      <c r="E118" s="89">
        <v>3</v>
      </c>
      <c r="F118" s="90">
        <v>1508.5479166666671</v>
      </c>
      <c r="G118" s="90">
        <v>477.95577557755706</v>
      </c>
      <c r="H118" s="98">
        <v>1.4497079018446534E-5</v>
      </c>
      <c r="I118" s="1"/>
      <c r="J118" s="1"/>
      <c r="K118" s="1"/>
      <c r="L118" s="1"/>
      <c r="M118" s="1"/>
      <c r="N118" s="1"/>
      <c r="O118" s="1"/>
      <c r="P118" s="184" t="s">
        <v>59</v>
      </c>
      <c r="Q118" s="87" t="s">
        <v>269</v>
      </c>
      <c r="R118" s="88">
        <v>2.6497369167270652E-2</v>
      </c>
      <c r="S118" s="90">
        <v>0.87603560299636241</v>
      </c>
      <c r="T118" s="90">
        <v>-2.7824854344527705E-3</v>
      </c>
      <c r="U118" s="89">
        <v>6</v>
      </c>
      <c r="V118" s="90">
        <v>0.99787010647793062</v>
      </c>
      <c r="W118" s="108">
        <v>-4.9999999999997158E-2</v>
      </c>
      <c r="X118" s="108">
        <v>17.969545996861839</v>
      </c>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row>
    <row r="119" spans="1:49" ht="45.6">
      <c r="A119" s="1"/>
      <c r="B119" s="185"/>
      <c r="C119" s="87" t="s">
        <v>143</v>
      </c>
      <c r="D119" s="88">
        <v>12.625000000000021</v>
      </c>
      <c r="E119" s="89">
        <v>4</v>
      </c>
      <c r="F119" s="90">
        <v>3.1562500000000053</v>
      </c>
      <c r="G119" s="91"/>
      <c r="H119" s="92"/>
      <c r="I119" s="1"/>
      <c r="J119" s="1"/>
      <c r="K119" s="1"/>
      <c r="L119" s="1"/>
      <c r="M119" s="1"/>
      <c r="N119" s="1"/>
      <c r="O119" s="1"/>
      <c r="P119" s="184"/>
      <c r="Q119" s="93" t="s">
        <v>270</v>
      </c>
      <c r="R119" s="105"/>
      <c r="S119" s="96"/>
      <c r="T119" s="106">
        <v>-2.7824854344527705E-3</v>
      </c>
      <c r="U119" s="106">
        <v>5.9602600562754109</v>
      </c>
      <c r="V119" s="106">
        <v>0.99787069025399089</v>
      </c>
      <c r="W119" s="107">
        <v>-4.9999999999997158E-2</v>
      </c>
      <c r="X119" s="107">
        <v>17.969545996861839</v>
      </c>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row>
    <row r="120" spans="1:49" ht="34.200000000000003">
      <c r="A120" s="1"/>
      <c r="B120" s="184"/>
      <c r="C120" s="93" t="s">
        <v>144</v>
      </c>
      <c r="D120" s="94">
        <v>4538.2687500000011</v>
      </c>
      <c r="E120" s="95">
        <v>7</v>
      </c>
      <c r="F120" s="96"/>
      <c r="G120" s="96"/>
      <c r="H120" s="97"/>
      <c r="I120" s="1"/>
      <c r="J120" s="1"/>
      <c r="K120" s="1"/>
      <c r="L120" s="1"/>
      <c r="M120" s="1"/>
      <c r="N120" s="1"/>
      <c r="O120" s="1"/>
      <c r="P120" s="184" t="s">
        <v>263</v>
      </c>
      <c r="Q120" s="87" t="s">
        <v>269</v>
      </c>
      <c r="R120" s="88">
        <v>0.33388027069485582</v>
      </c>
      <c r="S120" s="90">
        <v>0.58440043360495952</v>
      </c>
      <c r="T120" s="90">
        <v>0</v>
      </c>
      <c r="U120" s="89">
        <v>6</v>
      </c>
      <c r="V120" s="90">
        <v>1</v>
      </c>
      <c r="W120" s="108">
        <v>0</v>
      </c>
      <c r="X120" s="108">
        <v>25.242779495663044</v>
      </c>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row>
    <row r="121" spans="1:49" ht="45.6">
      <c r="A121" s="1"/>
      <c r="B121" s="184" t="s">
        <v>42</v>
      </c>
      <c r="C121" s="87" t="s">
        <v>142</v>
      </c>
      <c r="D121" s="88">
        <v>8074.1500000000033</v>
      </c>
      <c r="E121" s="89">
        <v>3</v>
      </c>
      <c r="F121" s="90">
        <v>2691.3833333333346</v>
      </c>
      <c r="G121" s="90">
        <v>181.02460624404478</v>
      </c>
      <c r="H121" s="98">
        <v>9.999267224782128E-5</v>
      </c>
      <c r="I121" s="1"/>
      <c r="J121" s="1"/>
      <c r="K121" s="1"/>
      <c r="L121" s="1"/>
      <c r="M121" s="1"/>
      <c r="N121" s="1"/>
      <c r="O121" s="1"/>
      <c r="P121" s="184"/>
      <c r="Q121" s="93" t="s">
        <v>270</v>
      </c>
      <c r="R121" s="105"/>
      <c r="S121" s="96"/>
      <c r="T121" s="106">
        <v>0</v>
      </c>
      <c r="U121" s="106">
        <v>5.6100412332390972</v>
      </c>
      <c r="V121" s="106">
        <v>1</v>
      </c>
      <c r="W121" s="107">
        <v>0</v>
      </c>
      <c r="X121" s="107">
        <v>25.242779495663044</v>
      </c>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row>
    <row r="122" spans="1:49" ht="34.200000000000003">
      <c r="A122" s="1"/>
      <c r="B122" s="185"/>
      <c r="C122" s="87" t="s">
        <v>143</v>
      </c>
      <c r="D122" s="88">
        <v>59.469999999999978</v>
      </c>
      <c r="E122" s="89">
        <v>4</v>
      </c>
      <c r="F122" s="90">
        <v>14.867499999999994</v>
      </c>
      <c r="G122" s="91"/>
      <c r="H122" s="92"/>
      <c r="I122" s="1"/>
      <c r="J122" s="1"/>
      <c r="K122" s="1"/>
      <c r="L122" s="1"/>
      <c r="M122" s="1"/>
      <c r="N122" s="1"/>
      <c r="O122" s="1"/>
      <c r="P122" s="184" t="s">
        <v>62</v>
      </c>
      <c r="Q122" s="87" t="s">
        <v>269</v>
      </c>
      <c r="R122" s="88">
        <v>6.7371717586084512E-2</v>
      </c>
      <c r="S122" s="90">
        <v>0.80387918384765822</v>
      </c>
      <c r="T122" s="90">
        <v>0</v>
      </c>
      <c r="U122" s="89">
        <v>6</v>
      </c>
      <c r="V122" s="90">
        <v>1</v>
      </c>
      <c r="W122" s="108">
        <v>0</v>
      </c>
      <c r="X122" s="108">
        <v>23.657556932193987</v>
      </c>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row>
    <row r="123" spans="1:49" ht="45.6">
      <c r="A123" s="1"/>
      <c r="B123" s="184"/>
      <c r="C123" s="93" t="s">
        <v>144</v>
      </c>
      <c r="D123" s="94">
        <v>8133.6200000000035</v>
      </c>
      <c r="E123" s="95">
        <v>7</v>
      </c>
      <c r="F123" s="96"/>
      <c r="G123" s="96"/>
      <c r="H123" s="97"/>
      <c r="I123" s="1"/>
      <c r="J123" s="1"/>
      <c r="K123" s="1"/>
      <c r="L123" s="1"/>
      <c r="M123" s="1"/>
      <c r="N123" s="1"/>
      <c r="O123" s="1"/>
      <c r="P123" s="184"/>
      <c r="Q123" s="93" t="s">
        <v>270</v>
      </c>
      <c r="R123" s="105"/>
      <c r="S123" s="96"/>
      <c r="T123" s="106">
        <v>0</v>
      </c>
      <c r="U123" s="106">
        <v>5.9032515307685092</v>
      </c>
      <c r="V123" s="106">
        <v>1</v>
      </c>
      <c r="W123" s="107">
        <v>0</v>
      </c>
      <c r="X123" s="107">
        <v>23.657556932193987</v>
      </c>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row>
    <row r="124" spans="1:49" ht="34.200000000000003">
      <c r="A124" s="1"/>
      <c r="B124" s="184" t="s">
        <v>260</v>
      </c>
      <c r="C124" s="87" t="s">
        <v>142</v>
      </c>
      <c r="D124" s="88">
        <v>3088.6899999999996</v>
      </c>
      <c r="E124" s="89">
        <v>3</v>
      </c>
      <c r="F124" s="90">
        <v>1029.5633333333333</v>
      </c>
      <c r="G124" s="90">
        <v>234.6583095916429</v>
      </c>
      <c r="H124" s="98">
        <v>5.9740100271733185E-5</v>
      </c>
      <c r="I124" s="1"/>
      <c r="J124" s="1"/>
      <c r="K124" s="1"/>
      <c r="L124" s="1"/>
      <c r="M124" s="1"/>
      <c r="N124" s="1"/>
      <c r="O124" s="1"/>
      <c r="P124" s="184" t="s">
        <v>63</v>
      </c>
      <c r="Q124" s="87" t="s">
        <v>269</v>
      </c>
      <c r="R124" s="88">
        <v>0.21522868580189072</v>
      </c>
      <c r="S124" s="90">
        <v>0.65905395165452219</v>
      </c>
      <c r="T124" s="90">
        <v>0</v>
      </c>
      <c r="U124" s="89">
        <v>6</v>
      </c>
      <c r="V124" s="90">
        <v>1</v>
      </c>
      <c r="W124" s="108">
        <v>0</v>
      </c>
      <c r="X124" s="108">
        <v>28.107976329386172</v>
      </c>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row>
    <row r="125" spans="1:49" ht="45.6">
      <c r="A125" s="1"/>
      <c r="B125" s="185"/>
      <c r="C125" s="87" t="s">
        <v>143</v>
      </c>
      <c r="D125" s="88">
        <v>17.55</v>
      </c>
      <c r="E125" s="89">
        <v>4</v>
      </c>
      <c r="F125" s="90">
        <v>4.3875000000000002</v>
      </c>
      <c r="G125" s="91"/>
      <c r="H125" s="92"/>
      <c r="I125" s="1"/>
      <c r="J125" s="1"/>
      <c r="K125" s="1"/>
      <c r="L125" s="1"/>
      <c r="M125" s="1"/>
      <c r="N125" s="1"/>
      <c r="O125" s="1"/>
      <c r="P125" s="184"/>
      <c r="Q125" s="93" t="s">
        <v>270</v>
      </c>
      <c r="R125" s="105"/>
      <c r="S125" s="96"/>
      <c r="T125" s="106">
        <v>0</v>
      </c>
      <c r="U125" s="106">
        <v>5.7381697371917548</v>
      </c>
      <c r="V125" s="106">
        <v>1</v>
      </c>
      <c r="W125" s="107">
        <v>0</v>
      </c>
      <c r="X125" s="107">
        <v>28.107976329386172</v>
      </c>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row>
    <row r="126" spans="1:49" ht="34.200000000000003">
      <c r="A126" s="1"/>
      <c r="B126" s="184"/>
      <c r="C126" s="93" t="s">
        <v>144</v>
      </c>
      <c r="D126" s="94">
        <v>3106.24</v>
      </c>
      <c r="E126" s="95">
        <v>7</v>
      </c>
      <c r="F126" s="96"/>
      <c r="G126" s="96"/>
      <c r="H126" s="97"/>
      <c r="I126" s="1"/>
      <c r="J126" s="1"/>
      <c r="K126" s="1"/>
      <c r="L126" s="1"/>
      <c r="M126" s="1"/>
      <c r="N126" s="1"/>
      <c r="O126" s="1"/>
      <c r="P126" s="184" t="s">
        <v>64</v>
      </c>
      <c r="Q126" s="87" t="s">
        <v>269</v>
      </c>
      <c r="R126" s="88">
        <v>0.30460146840537494</v>
      </c>
      <c r="S126" s="90">
        <v>0.60094819316445436</v>
      </c>
      <c r="T126" s="90">
        <v>-1.5202584496889833E-3</v>
      </c>
      <c r="U126" s="89">
        <v>6</v>
      </c>
      <c r="V126" s="90">
        <v>0.99883629506081184</v>
      </c>
      <c r="W126" s="108">
        <v>-2.4999999999998579E-2</v>
      </c>
      <c r="X126" s="108">
        <v>16.444572306184593</v>
      </c>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row>
    <row r="127" spans="1:49" ht="45.6">
      <c r="A127" s="1"/>
      <c r="B127" s="184" t="s">
        <v>44</v>
      </c>
      <c r="C127" s="87" t="s">
        <v>142</v>
      </c>
      <c r="D127" s="88">
        <v>4783.95</v>
      </c>
      <c r="E127" s="89">
        <v>3</v>
      </c>
      <c r="F127" s="90">
        <v>1594.6499999999999</v>
      </c>
      <c r="G127" s="90">
        <v>48.792167061883262</v>
      </c>
      <c r="H127" s="98">
        <v>1.3148427411140006E-3</v>
      </c>
      <c r="I127" s="1"/>
      <c r="J127" s="1"/>
      <c r="K127" s="1"/>
      <c r="L127" s="1"/>
      <c r="M127" s="1"/>
      <c r="N127" s="1"/>
      <c r="O127" s="1"/>
      <c r="P127" s="184"/>
      <c r="Q127" s="93" t="s">
        <v>270</v>
      </c>
      <c r="R127" s="105"/>
      <c r="S127" s="96"/>
      <c r="T127" s="106">
        <v>-1.5202584496889833E-3</v>
      </c>
      <c r="U127" s="106">
        <v>5.3780720001566698</v>
      </c>
      <c r="V127" s="106">
        <v>0.99884180678265788</v>
      </c>
      <c r="W127" s="107">
        <v>-2.4999999999998579E-2</v>
      </c>
      <c r="X127" s="107">
        <v>16.444572306184593</v>
      </c>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row>
    <row r="128" spans="1:49" ht="34.200000000000003">
      <c r="A128" s="1"/>
      <c r="B128" s="185"/>
      <c r="C128" s="87" t="s">
        <v>143</v>
      </c>
      <c r="D128" s="88">
        <v>130.73000000000002</v>
      </c>
      <c r="E128" s="89">
        <v>4</v>
      </c>
      <c r="F128" s="90">
        <v>32.682500000000005</v>
      </c>
      <c r="G128" s="91"/>
      <c r="H128" s="92"/>
      <c r="I128" s="1"/>
      <c r="J128" s="1"/>
      <c r="K128" s="1"/>
      <c r="L128" s="1"/>
      <c r="M128" s="1"/>
      <c r="N128" s="1"/>
      <c r="O128" s="1"/>
      <c r="P128" s="184" t="s">
        <v>65</v>
      </c>
      <c r="Q128" s="87" t="s">
        <v>269</v>
      </c>
      <c r="R128" s="88">
        <v>0.16408227238899981</v>
      </c>
      <c r="S128" s="90">
        <v>0.69947242828089862</v>
      </c>
      <c r="T128" s="90">
        <v>-1.3072461320327961E-3</v>
      </c>
      <c r="U128" s="89">
        <v>6</v>
      </c>
      <c r="V128" s="90">
        <v>0.99899934846009264</v>
      </c>
      <c r="W128" s="108">
        <v>-2.5000000000002132E-2</v>
      </c>
      <c r="X128" s="108">
        <v>19.124172095370128</v>
      </c>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row>
    <row r="129" spans="1:49" ht="45.6">
      <c r="A129" s="1"/>
      <c r="B129" s="184"/>
      <c r="C129" s="93" t="s">
        <v>144</v>
      </c>
      <c r="D129" s="94">
        <v>4914.68</v>
      </c>
      <c r="E129" s="95">
        <v>7</v>
      </c>
      <c r="F129" s="96"/>
      <c r="G129" s="96"/>
      <c r="H129" s="97"/>
      <c r="I129" s="1"/>
      <c r="J129" s="1"/>
      <c r="K129" s="1"/>
      <c r="L129" s="1"/>
      <c r="M129" s="1"/>
      <c r="N129" s="1"/>
      <c r="O129" s="1"/>
      <c r="P129" s="184"/>
      <c r="Q129" s="93" t="s">
        <v>270</v>
      </c>
      <c r="R129" s="105"/>
      <c r="S129" s="96"/>
      <c r="T129" s="106">
        <v>-1.3072461320327963E-3</v>
      </c>
      <c r="U129" s="106">
        <v>5.7977805408015666</v>
      </c>
      <c r="V129" s="106">
        <v>0.99900078183273477</v>
      </c>
      <c r="W129" s="107">
        <v>-2.5000000000002132E-2</v>
      </c>
      <c r="X129" s="107">
        <v>19.124172095370124</v>
      </c>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row>
    <row r="130" spans="1:49" ht="34.200000000000003">
      <c r="A130" s="1"/>
      <c r="B130" s="184" t="s">
        <v>252</v>
      </c>
      <c r="C130" s="87" t="s">
        <v>142</v>
      </c>
      <c r="D130" s="88">
        <v>8863.5437500000007</v>
      </c>
      <c r="E130" s="89">
        <v>3</v>
      </c>
      <c r="F130" s="90">
        <v>2954.5145833333336</v>
      </c>
      <c r="G130" s="90">
        <v>120.98130043848428</v>
      </c>
      <c r="H130" s="98">
        <v>2.219922033716031E-4</v>
      </c>
      <c r="I130" s="1"/>
      <c r="J130" s="1"/>
      <c r="K130" s="1"/>
      <c r="L130" s="1"/>
      <c r="M130" s="1"/>
      <c r="N130" s="1"/>
      <c r="O130" s="1"/>
      <c r="P130" s="184" t="s">
        <v>66</v>
      </c>
      <c r="Q130" s="87" t="s">
        <v>269</v>
      </c>
      <c r="R130" s="88">
        <v>2.6251875133938146E-2</v>
      </c>
      <c r="S130" s="90">
        <v>0.87660534417060842</v>
      </c>
      <c r="T130" s="90">
        <v>1.9218418163751382E-3</v>
      </c>
      <c r="U130" s="89">
        <v>6</v>
      </c>
      <c r="V130" s="90">
        <v>0.99852889736386574</v>
      </c>
      <c r="W130" s="108">
        <v>2.5000000000002132E-2</v>
      </c>
      <c r="X130" s="108">
        <v>13.00835468714882</v>
      </c>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row>
    <row r="131" spans="1:49" ht="45.6">
      <c r="A131" s="1"/>
      <c r="B131" s="185"/>
      <c r="C131" s="87" t="s">
        <v>143</v>
      </c>
      <c r="D131" s="88">
        <v>97.684999999999974</v>
      </c>
      <c r="E131" s="89">
        <v>4</v>
      </c>
      <c r="F131" s="90">
        <v>24.421249999999993</v>
      </c>
      <c r="G131" s="91"/>
      <c r="H131" s="92"/>
      <c r="I131" s="1"/>
      <c r="J131" s="1"/>
      <c r="K131" s="1"/>
      <c r="L131" s="1"/>
      <c r="M131" s="1"/>
      <c r="N131" s="1"/>
      <c r="O131" s="1"/>
      <c r="P131" s="184"/>
      <c r="Q131" s="93" t="s">
        <v>270</v>
      </c>
      <c r="R131" s="105"/>
      <c r="S131" s="96"/>
      <c r="T131" s="106">
        <v>1.9218418163751386E-3</v>
      </c>
      <c r="U131" s="106">
        <v>5.9999922185201324</v>
      </c>
      <c r="V131" s="106">
        <v>0.99852889744231266</v>
      </c>
      <c r="W131" s="107">
        <v>2.5000000000002132E-2</v>
      </c>
      <c r="X131" s="107">
        <v>13.008354687148818</v>
      </c>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row>
    <row r="132" spans="1:49" ht="34.200000000000003">
      <c r="A132" s="1"/>
      <c r="B132" s="184"/>
      <c r="C132" s="93" t="s">
        <v>144</v>
      </c>
      <c r="D132" s="94">
        <v>8961.2287500000002</v>
      </c>
      <c r="E132" s="95">
        <v>7</v>
      </c>
      <c r="F132" s="96"/>
      <c r="G132" s="96"/>
      <c r="H132" s="97"/>
      <c r="I132" s="1"/>
      <c r="J132" s="1"/>
      <c r="K132" s="1"/>
      <c r="L132" s="1"/>
      <c r="M132" s="1"/>
      <c r="N132" s="1"/>
      <c r="O132" s="1"/>
      <c r="P132" s="184" t="s">
        <v>68</v>
      </c>
      <c r="Q132" s="87" t="s">
        <v>269</v>
      </c>
      <c r="R132" s="88">
        <v>0.10239656432958952</v>
      </c>
      <c r="S132" s="90">
        <v>0.75982219238986815</v>
      </c>
      <c r="T132" s="90">
        <v>0</v>
      </c>
      <c r="U132" s="89">
        <v>6</v>
      </c>
      <c r="V132" s="90">
        <v>1</v>
      </c>
      <c r="W132" s="108">
        <v>0</v>
      </c>
      <c r="X132" s="108">
        <v>22.719521708580636</v>
      </c>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row>
    <row r="133" spans="1:49" ht="45.6">
      <c r="A133" s="1"/>
      <c r="B133" s="184" t="s">
        <v>46</v>
      </c>
      <c r="C133" s="87" t="s">
        <v>142</v>
      </c>
      <c r="D133" s="88">
        <v>6522.75</v>
      </c>
      <c r="E133" s="89">
        <v>3</v>
      </c>
      <c r="F133" s="90">
        <v>2174.25</v>
      </c>
      <c r="G133" s="90">
        <v>102.66792586471483</v>
      </c>
      <c r="H133" s="98">
        <v>3.0685777572120478E-4</v>
      </c>
      <c r="I133" s="1"/>
      <c r="J133" s="1"/>
      <c r="K133" s="1"/>
      <c r="L133" s="1"/>
      <c r="M133" s="1"/>
      <c r="N133" s="1"/>
      <c r="O133" s="1"/>
      <c r="P133" s="184"/>
      <c r="Q133" s="93" t="s">
        <v>270</v>
      </c>
      <c r="R133" s="105"/>
      <c r="S133" s="96"/>
      <c r="T133" s="106">
        <v>0</v>
      </c>
      <c r="U133" s="106">
        <v>5.8839439123615138</v>
      </c>
      <c r="V133" s="106">
        <v>1</v>
      </c>
      <c r="W133" s="107">
        <v>0</v>
      </c>
      <c r="X133" s="107">
        <v>22.719521708580636</v>
      </c>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row>
    <row r="134" spans="1:49" ht="34.200000000000003">
      <c r="A134" s="1"/>
      <c r="B134" s="185"/>
      <c r="C134" s="87" t="s">
        <v>143</v>
      </c>
      <c r="D134" s="88">
        <v>84.710000000000065</v>
      </c>
      <c r="E134" s="89">
        <v>4</v>
      </c>
      <c r="F134" s="90">
        <v>21.177500000000016</v>
      </c>
      <c r="G134" s="91"/>
      <c r="H134" s="92"/>
      <c r="I134" s="1"/>
      <c r="J134" s="1"/>
      <c r="K134" s="1"/>
      <c r="L134" s="1"/>
      <c r="M134" s="1"/>
      <c r="N134" s="1"/>
      <c r="O134" s="1"/>
      <c r="P134" s="184" t="s">
        <v>69</v>
      </c>
      <c r="Q134" s="87" t="s">
        <v>269</v>
      </c>
      <c r="R134" s="88">
        <v>7.2195483154388514E-3</v>
      </c>
      <c r="S134" s="90">
        <v>0.93505113601805967</v>
      </c>
      <c r="T134" s="90">
        <v>1.6515034513218247E-3</v>
      </c>
      <c r="U134" s="89">
        <v>6</v>
      </c>
      <c r="V134" s="90">
        <v>0.99873583168163171</v>
      </c>
      <c r="W134" s="108">
        <v>2.4999999999998579E-2</v>
      </c>
      <c r="X134" s="108">
        <v>15.137721922402987</v>
      </c>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row>
    <row r="135" spans="1:49" ht="45.6">
      <c r="A135" s="1"/>
      <c r="B135" s="184"/>
      <c r="C135" s="93" t="s">
        <v>144</v>
      </c>
      <c r="D135" s="94">
        <v>6607.46</v>
      </c>
      <c r="E135" s="95">
        <v>7</v>
      </c>
      <c r="F135" s="96"/>
      <c r="G135" s="96"/>
      <c r="H135" s="97"/>
      <c r="I135" s="1"/>
      <c r="J135" s="1"/>
      <c r="K135" s="1"/>
      <c r="L135" s="1"/>
      <c r="M135" s="1"/>
      <c r="N135" s="1"/>
      <c r="O135" s="1"/>
      <c r="P135" s="184"/>
      <c r="Q135" s="93" t="s">
        <v>270</v>
      </c>
      <c r="R135" s="105"/>
      <c r="S135" s="96"/>
      <c r="T135" s="106">
        <v>1.6515034513218247E-3</v>
      </c>
      <c r="U135" s="106">
        <v>5.9998031064947037</v>
      </c>
      <c r="V135" s="106">
        <v>0.99873583338740046</v>
      </c>
      <c r="W135" s="107">
        <v>2.4999999999998579E-2</v>
      </c>
      <c r="X135" s="107">
        <v>15.137721922402987</v>
      </c>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row>
    <row r="136" spans="1:49" ht="34.200000000000003">
      <c r="A136" s="1"/>
      <c r="B136" s="184" t="s">
        <v>253</v>
      </c>
      <c r="C136" s="87" t="s">
        <v>142</v>
      </c>
      <c r="D136" s="88">
        <v>8153.3537499999984</v>
      </c>
      <c r="E136" s="89">
        <v>3</v>
      </c>
      <c r="F136" s="90">
        <v>2717.7845833333326</v>
      </c>
      <c r="G136" s="90">
        <v>617.85384105332946</v>
      </c>
      <c r="H136" s="98">
        <v>8.6880612199664781E-6</v>
      </c>
      <c r="I136" s="1"/>
      <c r="J136" s="1"/>
      <c r="K136" s="1"/>
      <c r="L136" s="1"/>
      <c r="M136" s="1"/>
      <c r="N136" s="1"/>
      <c r="O136" s="1"/>
      <c r="P136" s="184" t="s">
        <v>70</v>
      </c>
      <c r="Q136" s="87" t="s">
        <v>269</v>
      </c>
      <c r="R136" s="88">
        <v>0.13821607487073187</v>
      </c>
      <c r="S136" s="90">
        <v>0.72283695956212157</v>
      </c>
      <c r="T136" s="90">
        <v>1.362897529897574E-3</v>
      </c>
      <c r="U136" s="89">
        <v>6</v>
      </c>
      <c r="V136" s="90">
        <v>0.99895674927681577</v>
      </c>
      <c r="W136" s="108">
        <v>2.4999999999998579E-2</v>
      </c>
      <c r="X136" s="108">
        <v>18.34327192733074</v>
      </c>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row>
    <row r="137" spans="1:49" ht="45.6">
      <c r="A137" s="1"/>
      <c r="B137" s="185"/>
      <c r="C137" s="87" t="s">
        <v>143</v>
      </c>
      <c r="D137" s="88">
        <v>17.594999999999999</v>
      </c>
      <c r="E137" s="89">
        <v>4</v>
      </c>
      <c r="F137" s="90">
        <v>4.3987499999999997</v>
      </c>
      <c r="G137" s="91"/>
      <c r="H137" s="92"/>
      <c r="I137" s="1"/>
      <c r="J137" s="1"/>
      <c r="K137" s="1"/>
      <c r="L137" s="1"/>
      <c r="M137" s="1"/>
      <c r="N137" s="1"/>
      <c r="O137" s="1"/>
      <c r="P137" s="184"/>
      <c r="Q137" s="93" t="s">
        <v>270</v>
      </c>
      <c r="R137" s="105"/>
      <c r="S137" s="96"/>
      <c r="T137" s="106">
        <v>1.362897529897574E-3</v>
      </c>
      <c r="U137" s="106">
        <v>5.7479547261530541</v>
      </c>
      <c r="V137" s="106">
        <v>0.99895862746174047</v>
      </c>
      <c r="W137" s="107">
        <v>2.4999999999998579E-2</v>
      </c>
      <c r="X137" s="107">
        <v>18.34327192733074</v>
      </c>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row>
    <row r="138" spans="1:49" ht="34.200000000000003">
      <c r="A138" s="1"/>
      <c r="B138" s="184"/>
      <c r="C138" s="93" t="s">
        <v>144</v>
      </c>
      <c r="D138" s="94">
        <v>8170.9487499999987</v>
      </c>
      <c r="E138" s="95">
        <v>7</v>
      </c>
      <c r="F138" s="96"/>
      <c r="G138" s="96"/>
      <c r="H138" s="97"/>
      <c r="I138" s="1"/>
      <c r="J138" s="1"/>
      <c r="K138" s="1"/>
      <c r="L138" s="1"/>
      <c r="M138" s="1"/>
      <c r="N138" s="1"/>
      <c r="O138" s="1"/>
      <c r="P138" s="184" t="s">
        <v>71</v>
      </c>
      <c r="Q138" s="87" t="s">
        <v>269</v>
      </c>
      <c r="R138" s="88">
        <v>0.41441754466231884</v>
      </c>
      <c r="S138" s="90">
        <v>0.54354292733932719</v>
      </c>
      <c r="T138" s="90">
        <v>1.3487876593476437E-3</v>
      </c>
      <c r="U138" s="89">
        <v>6</v>
      </c>
      <c r="V138" s="90">
        <v>0.99896754988497871</v>
      </c>
      <c r="W138" s="108">
        <v>2.4999999999998579E-2</v>
      </c>
      <c r="X138" s="108">
        <v>18.535163653625144</v>
      </c>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row>
    <row r="139" spans="1:49" ht="45.6">
      <c r="A139" s="1"/>
      <c r="B139" s="184" t="s">
        <v>261</v>
      </c>
      <c r="C139" s="87" t="s">
        <v>142</v>
      </c>
      <c r="D139" s="88">
        <v>4276.09375</v>
      </c>
      <c r="E139" s="89">
        <v>3</v>
      </c>
      <c r="F139" s="90">
        <v>1425.3645833333333</v>
      </c>
      <c r="G139" s="90">
        <v>111.45456618773009</v>
      </c>
      <c r="H139" s="98">
        <v>2.6099679174197737E-4</v>
      </c>
      <c r="I139" s="1"/>
      <c r="J139" s="1"/>
      <c r="K139" s="1"/>
      <c r="L139" s="1"/>
      <c r="M139" s="1"/>
      <c r="N139" s="1"/>
      <c r="O139" s="1"/>
      <c r="P139" s="184"/>
      <c r="Q139" s="93" t="s">
        <v>270</v>
      </c>
      <c r="R139" s="105"/>
      <c r="S139" s="96"/>
      <c r="T139" s="106">
        <v>1.3487876593476437E-3</v>
      </c>
      <c r="U139" s="106">
        <v>5.2720032853991965</v>
      </c>
      <c r="V139" s="106">
        <v>0.99897338462289664</v>
      </c>
      <c r="W139" s="107">
        <v>2.4999999999998579E-2</v>
      </c>
      <c r="X139" s="107">
        <v>18.535163653625144</v>
      </c>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row>
    <row r="140" spans="1:49" ht="34.200000000000003">
      <c r="A140" s="1"/>
      <c r="B140" s="185"/>
      <c r="C140" s="87" t="s">
        <v>143</v>
      </c>
      <c r="D140" s="88">
        <v>51.155000000000001</v>
      </c>
      <c r="E140" s="89">
        <v>4</v>
      </c>
      <c r="F140" s="90">
        <v>12.78875</v>
      </c>
      <c r="G140" s="91"/>
      <c r="H140" s="92"/>
      <c r="I140" s="1"/>
      <c r="J140" s="1"/>
      <c r="K140" s="1"/>
      <c r="L140" s="1"/>
      <c r="M140" s="1"/>
      <c r="N140" s="1"/>
      <c r="O140" s="1"/>
      <c r="P140" s="184" t="s">
        <v>72</v>
      </c>
      <c r="Q140" s="87" t="s">
        <v>269</v>
      </c>
      <c r="R140" s="88">
        <v>0.21284080914687772</v>
      </c>
      <c r="S140" s="90">
        <v>0.66080133787605189</v>
      </c>
      <c r="T140" s="90">
        <v>0</v>
      </c>
      <c r="U140" s="89">
        <v>6</v>
      </c>
      <c r="V140" s="90">
        <v>1</v>
      </c>
      <c r="W140" s="108">
        <v>0</v>
      </c>
      <c r="X140" s="108">
        <v>23.395156193822118</v>
      </c>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row>
    <row r="141" spans="1:49" ht="45.6">
      <c r="A141" s="1"/>
      <c r="B141" s="184"/>
      <c r="C141" s="93" t="s">
        <v>144</v>
      </c>
      <c r="D141" s="94">
        <v>4327.2487499999997</v>
      </c>
      <c r="E141" s="95">
        <v>7</v>
      </c>
      <c r="F141" s="96"/>
      <c r="G141" s="96"/>
      <c r="H141" s="97"/>
      <c r="I141" s="1"/>
      <c r="J141" s="1"/>
      <c r="K141" s="1"/>
      <c r="L141" s="1"/>
      <c r="M141" s="1"/>
      <c r="N141" s="1"/>
      <c r="O141" s="1"/>
      <c r="P141" s="184"/>
      <c r="Q141" s="93" t="s">
        <v>270</v>
      </c>
      <c r="R141" s="105"/>
      <c r="S141" s="96"/>
      <c r="T141" s="106">
        <v>0</v>
      </c>
      <c r="U141" s="106">
        <v>5.745801191449539</v>
      </c>
      <c r="V141" s="106">
        <v>1</v>
      </c>
      <c r="W141" s="107">
        <v>0</v>
      </c>
      <c r="X141" s="107">
        <v>23.395156193822118</v>
      </c>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row>
    <row r="142" spans="1:49" ht="34.200000000000003">
      <c r="A142" s="1"/>
      <c r="B142" s="184" t="s">
        <v>49</v>
      </c>
      <c r="C142" s="87" t="s">
        <v>142</v>
      </c>
      <c r="D142" s="88">
        <v>5865.91</v>
      </c>
      <c r="E142" s="89">
        <v>3</v>
      </c>
      <c r="F142" s="90">
        <v>1955.3033333333333</v>
      </c>
      <c r="G142" s="90">
        <v>46.386414408002679</v>
      </c>
      <c r="H142" s="98">
        <v>1.450096880688682E-3</v>
      </c>
      <c r="I142" s="1"/>
      <c r="J142" s="1"/>
      <c r="K142" s="1"/>
      <c r="L142" s="1"/>
      <c r="M142" s="1"/>
      <c r="N142" s="1"/>
      <c r="O142" s="1"/>
      <c r="P142" s="184" t="s">
        <v>73</v>
      </c>
      <c r="Q142" s="87" t="s">
        <v>269</v>
      </c>
      <c r="R142" s="88">
        <v>0.47306668206056979</v>
      </c>
      <c r="S142" s="90">
        <v>0.51727201466562223</v>
      </c>
      <c r="T142" s="90">
        <v>-2.0638822521398334E-16</v>
      </c>
      <c r="U142" s="89">
        <v>6</v>
      </c>
      <c r="V142" s="90">
        <v>1</v>
      </c>
      <c r="W142" s="108">
        <v>-3.5527136788005009E-15</v>
      </c>
      <c r="X142" s="108">
        <v>17.213742087839783</v>
      </c>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row>
    <row r="143" spans="1:49" ht="45.6">
      <c r="A143" s="1"/>
      <c r="B143" s="185"/>
      <c r="C143" s="87" t="s">
        <v>143</v>
      </c>
      <c r="D143" s="88">
        <v>168.61000000000004</v>
      </c>
      <c r="E143" s="89">
        <v>4</v>
      </c>
      <c r="F143" s="90">
        <v>42.152500000000011</v>
      </c>
      <c r="G143" s="91"/>
      <c r="H143" s="92"/>
      <c r="I143" s="1"/>
      <c r="J143" s="1"/>
      <c r="K143" s="1"/>
      <c r="L143" s="1"/>
      <c r="M143" s="1"/>
      <c r="N143" s="1"/>
      <c r="O143" s="1"/>
      <c r="P143" s="184"/>
      <c r="Q143" s="93" t="s">
        <v>270</v>
      </c>
      <c r="R143" s="105"/>
      <c r="S143" s="96"/>
      <c r="T143" s="106">
        <v>-2.0638822521398334E-16</v>
      </c>
      <c r="U143" s="106">
        <v>5.2507509607402181</v>
      </c>
      <c r="V143" s="106">
        <v>1</v>
      </c>
      <c r="W143" s="107">
        <v>-3.5527136788005009E-15</v>
      </c>
      <c r="X143" s="107">
        <v>17.213742087839783</v>
      </c>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row>
    <row r="144" spans="1:49" ht="34.200000000000003">
      <c r="A144" s="1"/>
      <c r="B144" s="184"/>
      <c r="C144" s="93" t="s">
        <v>144</v>
      </c>
      <c r="D144" s="94">
        <v>6034.5199999999995</v>
      </c>
      <c r="E144" s="95">
        <v>7</v>
      </c>
      <c r="F144" s="96"/>
      <c r="G144" s="96"/>
      <c r="H144" s="97"/>
      <c r="I144" s="1"/>
      <c r="J144" s="1"/>
      <c r="K144" s="1"/>
      <c r="L144" s="1"/>
      <c r="M144" s="1"/>
      <c r="N144" s="1"/>
      <c r="O144" s="1"/>
      <c r="P144" s="184" t="s">
        <v>256</v>
      </c>
      <c r="Q144" s="87" t="s">
        <v>269</v>
      </c>
      <c r="R144" s="88">
        <v>0.27294044619411861</v>
      </c>
      <c r="S144" s="90">
        <v>0.62008628011758116</v>
      </c>
      <c r="T144" s="90">
        <v>0</v>
      </c>
      <c r="U144" s="89">
        <v>6</v>
      </c>
      <c r="V144" s="90">
        <v>1</v>
      </c>
      <c r="W144" s="108">
        <v>0</v>
      </c>
      <c r="X144" s="108">
        <v>21.949971526177428</v>
      </c>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row>
    <row r="145" spans="1:49" ht="45.6">
      <c r="A145" s="1"/>
      <c r="B145" s="184" t="s">
        <v>254</v>
      </c>
      <c r="C145" s="87" t="s">
        <v>142</v>
      </c>
      <c r="D145" s="88">
        <v>9328.6899999999987</v>
      </c>
      <c r="E145" s="89">
        <v>3</v>
      </c>
      <c r="F145" s="90">
        <v>3109.563333333333</v>
      </c>
      <c r="G145" s="90">
        <v>303.29805738437733</v>
      </c>
      <c r="H145" s="98">
        <v>3.5866982195425461E-5</v>
      </c>
      <c r="I145" s="1"/>
      <c r="J145" s="1"/>
      <c r="K145" s="1"/>
      <c r="L145" s="1"/>
      <c r="M145" s="1"/>
      <c r="N145" s="1"/>
      <c r="O145" s="1"/>
      <c r="P145" s="184"/>
      <c r="Q145" s="93" t="s">
        <v>270</v>
      </c>
      <c r="R145" s="105"/>
      <c r="S145" s="96"/>
      <c r="T145" s="106">
        <v>0</v>
      </c>
      <c r="U145" s="106">
        <v>5.6287448052672309</v>
      </c>
      <c r="V145" s="106">
        <v>1</v>
      </c>
      <c r="W145" s="107">
        <v>0</v>
      </c>
      <c r="X145" s="107">
        <v>21.949971526177428</v>
      </c>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row>
    <row r="146" spans="1:49" ht="34.200000000000003">
      <c r="A146" s="1"/>
      <c r="B146" s="185"/>
      <c r="C146" s="87" t="s">
        <v>143</v>
      </c>
      <c r="D146" s="88">
        <v>41.010000000000062</v>
      </c>
      <c r="E146" s="89">
        <v>4</v>
      </c>
      <c r="F146" s="90">
        <v>10.252500000000015</v>
      </c>
      <c r="G146" s="91"/>
      <c r="H146" s="92"/>
      <c r="I146" s="1"/>
      <c r="J146" s="1"/>
      <c r="K146" s="1"/>
      <c r="L146" s="1"/>
      <c r="M146" s="1"/>
      <c r="N146" s="1"/>
      <c r="O146" s="1"/>
      <c r="P146" s="184" t="s">
        <v>75</v>
      </c>
      <c r="Q146" s="87" t="s">
        <v>269</v>
      </c>
      <c r="R146" s="88">
        <v>0.29074059343688397</v>
      </c>
      <c r="S146" s="90">
        <v>0.60915652291926747</v>
      </c>
      <c r="T146" s="90">
        <v>9.9762796658592638E-4</v>
      </c>
      <c r="U146" s="89">
        <v>6</v>
      </c>
      <c r="V146" s="90">
        <v>0.99923635031301328</v>
      </c>
      <c r="W146" s="108">
        <v>2.5000000000002132E-2</v>
      </c>
      <c r="X146" s="108">
        <v>25.059441833368918</v>
      </c>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row>
    <row r="147" spans="1:49" ht="45.6">
      <c r="A147" s="1"/>
      <c r="B147" s="184"/>
      <c r="C147" s="93" t="s">
        <v>144</v>
      </c>
      <c r="D147" s="94">
        <v>9369.6999999999989</v>
      </c>
      <c r="E147" s="95">
        <v>7</v>
      </c>
      <c r="F147" s="96"/>
      <c r="G147" s="96"/>
      <c r="H147" s="97"/>
      <c r="I147" s="1"/>
      <c r="J147" s="1"/>
      <c r="K147" s="1"/>
      <c r="L147" s="1"/>
      <c r="M147" s="1"/>
      <c r="N147" s="1"/>
      <c r="O147" s="1"/>
      <c r="P147" s="184"/>
      <c r="Q147" s="93" t="s">
        <v>270</v>
      </c>
      <c r="R147" s="105"/>
      <c r="S147" s="96"/>
      <c r="T147" s="106">
        <v>9.9762796658592638E-4</v>
      </c>
      <c r="U147" s="106">
        <v>5.649985903621265</v>
      </c>
      <c r="V147" s="106">
        <v>0.99923829143218645</v>
      </c>
      <c r="W147" s="107">
        <v>2.5000000000002132E-2</v>
      </c>
      <c r="X147" s="107">
        <v>25.059441833368918</v>
      </c>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row>
    <row r="148" spans="1:49" ht="34.200000000000003">
      <c r="A148" s="1"/>
      <c r="B148" s="184" t="s">
        <v>51</v>
      </c>
      <c r="C148" s="87" t="s">
        <v>142</v>
      </c>
      <c r="D148" s="88">
        <v>11029.940000000002</v>
      </c>
      <c r="E148" s="89">
        <v>3</v>
      </c>
      <c r="F148" s="90">
        <v>3676.6466666666674</v>
      </c>
      <c r="G148" s="90">
        <v>176.38026705045181</v>
      </c>
      <c r="H148" s="98">
        <v>1.0528060915642216E-4</v>
      </c>
      <c r="I148" s="1"/>
      <c r="J148" s="1"/>
      <c r="K148" s="1"/>
      <c r="L148" s="1"/>
      <c r="M148" s="1"/>
      <c r="N148" s="1"/>
      <c r="O148" s="1"/>
      <c r="P148" s="184" t="s">
        <v>76</v>
      </c>
      <c r="Q148" s="87" t="s">
        <v>269</v>
      </c>
      <c r="R148" s="88">
        <v>4.7087877538433145E-2</v>
      </c>
      <c r="S148" s="90">
        <v>0.83540085219737414</v>
      </c>
      <c r="T148" s="90">
        <v>-8.3852467269102267E-4</v>
      </c>
      <c r="U148" s="89">
        <v>6</v>
      </c>
      <c r="V148" s="90">
        <v>0.99935813834249587</v>
      </c>
      <c r="W148" s="108">
        <v>-2.4999999999998579E-2</v>
      </c>
      <c r="X148" s="108">
        <v>29.814268815451435</v>
      </c>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row>
    <row r="149" spans="1:49" ht="45.6">
      <c r="A149" s="1"/>
      <c r="B149" s="185"/>
      <c r="C149" s="87" t="s">
        <v>143</v>
      </c>
      <c r="D149" s="88">
        <v>83.38</v>
      </c>
      <c r="E149" s="89">
        <v>4</v>
      </c>
      <c r="F149" s="90">
        <v>20.844999999999999</v>
      </c>
      <c r="G149" s="91"/>
      <c r="H149" s="92"/>
      <c r="I149" s="1"/>
      <c r="J149" s="1"/>
      <c r="K149" s="1"/>
      <c r="L149" s="1"/>
      <c r="M149" s="1"/>
      <c r="N149" s="1"/>
      <c r="O149" s="1"/>
      <c r="P149" s="184"/>
      <c r="Q149" s="93" t="s">
        <v>270</v>
      </c>
      <c r="R149" s="105"/>
      <c r="S149" s="96"/>
      <c r="T149" s="106">
        <v>-8.3852467269102278E-4</v>
      </c>
      <c r="U149" s="106">
        <v>5.9421583641376223</v>
      </c>
      <c r="V149" s="106">
        <v>0.99935839515588099</v>
      </c>
      <c r="W149" s="107">
        <v>-2.4999999999998579E-2</v>
      </c>
      <c r="X149" s="107">
        <v>29.814268815451431</v>
      </c>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row>
    <row r="150" spans="1:49" ht="34.200000000000003">
      <c r="A150" s="1"/>
      <c r="B150" s="184"/>
      <c r="C150" s="93" t="s">
        <v>144</v>
      </c>
      <c r="D150" s="94">
        <v>11113.320000000002</v>
      </c>
      <c r="E150" s="95">
        <v>7</v>
      </c>
      <c r="F150" s="96"/>
      <c r="G150" s="96"/>
      <c r="H150" s="97"/>
      <c r="I150" s="1"/>
      <c r="J150" s="1"/>
      <c r="K150" s="1"/>
      <c r="L150" s="1"/>
      <c r="M150" s="1"/>
      <c r="N150" s="1"/>
      <c r="O150" s="1"/>
      <c r="P150" s="184" t="s">
        <v>257</v>
      </c>
      <c r="Q150" s="87" t="s">
        <v>269</v>
      </c>
      <c r="R150" s="88">
        <v>3.3393490414831514E-2</v>
      </c>
      <c r="S150" s="90">
        <v>0.8610211930064039</v>
      </c>
      <c r="T150" s="90">
        <v>0</v>
      </c>
      <c r="U150" s="89">
        <v>6</v>
      </c>
      <c r="V150" s="90">
        <v>1</v>
      </c>
      <c r="W150" s="108">
        <v>0</v>
      </c>
      <c r="X150" s="108">
        <v>21.444774033160932</v>
      </c>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row>
    <row r="151" spans="1:49" ht="45.6">
      <c r="A151" s="1"/>
      <c r="B151" s="184" t="s">
        <v>52</v>
      </c>
      <c r="C151" s="87" t="s">
        <v>142</v>
      </c>
      <c r="D151" s="88">
        <v>6419.8899999999985</v>
      </c>
      <c r="E151" s="89">
        <v>3</v>
      </c>
      <c r="F151" s="90">
        <v>2139.9633333333327</v>
      </c>
      <c r="G151" s="90">
        <v>48.194658709156798</v>
      </c>
      <c r="H151" s="98">
        <v>1.3466119345697794E-3</v>
      </c>
      <c r="I151" s="1"/>
      <c r="J151" s="1"/>
      <c r="K151" s="1"/>
      <c r="L151" s="1"/>
      <c r="M151" s="1"/>
      <c r="N151" s="1"/>
      <c r="O151" s="1"/>
      <c r="P151" s="184"/>
      <c r="Q151" s="93" t="s">
        <v>270</v>
      </c>
      <c r="R151" s="105"/>
      <c r="S151" s="96"/>
      <c r="T151" s="106">
        <v>0</v>
      </c>
      <c r="U151" s="106">
        <v>5.8870198645254836</v>
      </c>
      <c r="V151" s="106">
        <v>1</v>
      </c>
      <c r="W151" s="107">
        <v>0</v>
      </c>
      <c r="X151" s="107">
        <v>21.444774033160932</v>
      </c>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row>
    <row r="152" spans="1:49" ht="34.200000000000003">
      <c r="A152" s="1"/>
      <c r="B152" s="185"/>
      <c r="C152" s="87" t="s">
        <v>143</v>
      </c>
      <c r="D152" s="88">
        <v>177.60999999999984</v>
      </c>
      <c r="E152" s="89">
        <v>4</v>
      </c>
      <c r="F152" s="90">
        <v>44.402499999999961</v>
      </c>
      <c r="G152" s="91"/>
      <c r="H152" s="92"/>
      <c r="I152" s="1"/>
      <c r="J152" s="1"/>
      <c r="K152" s="1"/>
      <c r="L152" s="1"/>
      <c r="M152" s="1"/>
      <c r="N152" s="1"/>
      <c r="O152" s="1"/>
      <c r="P152" s="184" t="s">
        <v>78</v>
      </c>
      <c r="Q152" s="87" t="s">
        <v>269</v>
      </c>
      <c r="R152" s="88">
        <v>0.20968147560180111</v>
      </c>
      <c r="S152" s="90">
        <v>0.66313203062058834</v>
      </c>
      <c r="T152" s="90">
        <v>-1.0638580817081613E-3</v>
      </c>
      <c r="U152" s="89">
        <v>6</v>
      </c>
      <c r="V152" s="90">
        <v>0.99918565347330124</v>
      </c>
      <c r="W152" s="108">
        <v>-2.4999999999998579E-2</v>
      </c>
      <c r="X152" s="108">
        <v>23.499374991688608</v>
      </c>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row>
    <row r="153" spans="1:49" ht="45.6">
      <c r="A153" s="1"/>
      <c r="B153" s="184"/>
      <c r="C153" s="93" t="s">
        <v>144</v>
      </c>
      <c r="D153" s="94">
        <v>6597.4999999999982</v>
      </c>
      <c r="E153" s="95">
        <v>7</v>
      </c>
      <c r="F153" s="96"/>
      <c r="G153" s="96"/>
      <c r="H153" s="97"/>
      <c r="I153" s="1"/>
      <c r="J153" s="1"/>
      <c r="K153" s="1"/>
      <c r="L153" s="1"/>
      <c r="M153" s="1"/>
      <c r="N153" s="1"/>
      <c r="O153" s="1"/>
      <c r="P153" s="184"/>
      <c r="Q153" s="93" t="s">
        <v>270</v>
      </c>
      <c r="R153" s="105"/>
      <c r="S153" s="96"/>
      <c r="T153" s="106">
        <v>-1.0638580817081613E-3</v>
      </c>
      <c r="U153" s="106">
        <v>5.7085803251725311</v>
      </c>
      <c r="V153" s="106">
        <v>0.99918735986678764</v>
      </c>
      <c r="W153" s="107">
        <v>-2.4999999999998579E-2</v>
      </c>
      <c r="X153" s="107">
        <v>23.499374991688608</v>
      </c>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row>
    <row r="154" spans="1:49" ht="34.200000000000003">
      <c r="A154" s="1"/>
      <c r="B154" s="184" t="s">
        <v>255</v>
      </c>
      <c r="C154" s="87" t="s">
        <v>142</v>
      </c>
      <c r="D154" s="88">
        <v>4463.0700000000006</v>
      </c>
      <c r="E154" s="89">
        <v>3</v>
      </c>
      <c r="F154" s="90">
        <v>1487.6900000000003</v>
      </c>
      <c r="G154" s="90">
        <v>50.597398180426872</v>
      </c>
      <c r="H154" s="98">
        <v>1.225402500587051E-3</v>
      </c>
      <c r="I154" s="1"/>
      <c r="J154" s="1"/>
      <c r="K154" s="1"/>
      <c r="L154" s="1"/>
      <c r="M154" s="1"/>
      <c r="N154" s="1"/>
      <c r="O154" s="1"/>
      <c r="P154" s="184" t="s">
        <v>79</v>
      </c>
      <c r="Q154" s="87" t="s">
        <v>269</v>
      </c>
      <c r="R154" s="88">
        <v>0.58604839157070554</v>
      </c>
      <c r="S154" s="90">
        <v>0.47298017505709444</v>
      </c>
      <c r="T154" s="90">
        <v>0</v>
      </c>
      <c r="U154" s="89">
        <v>6</v>
      </c>
      <c r="V154" s="90">
        <v>1</v>
      </c>
      <c r="W154" s="108">
        <v>0</v>
      </c>
      <c r="X154" s="108">
        <v>18.752955322650703</v>
      </c>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row>
    <row r="155" spans="1:49" ht="45.6">
      <c r="A155" s="1"/>
      <c r="B155" s="185"/>
      <c r="C155" s="87" t="s">
        <v>143</v>
      </c>
      <c r="D155" s="88">
        <v>117.60999999999993</v>
      </c>
      <c r="E155" s="89">
        <v>4</v>
      </c>
      <c r="F155" s="90">
        <v>29.402499999999982</v>
      </c>
      <c r="G155" s="91"/>
      <c r="H155" s="92"/>
      <c r="I155" s="1"/>
      <c r="J155" s="1"/>
      <c r="K155" s="1"/>
      <c r="L155" s="1"/>
      <c r="M155" s="1"/>
      <c r="N155" s="1"/>
      <c r="O155" s="1"/>
      <c r="P155" s="184"/>
      <c r="Q155" s="93" t="s">
        <v>270</v>
      </c>
      <c r="R155" s="105"/>
      <c r="S155" s="96"/>
      <c r="T155" s="106">
        <v>0</v>
      </c>
      <c r="U155" s="106">
        <v>5.2887077269611407</v>
      </c>
      <c r="V155" s="106">
        <v>1</v>
      </c>
      <c r="W155" s="107">
        <v>0</v>
      </c>
      <c r="X155" s="107">
        <v>18.752955322650703</v>
      </c>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row>
    <row r="156" spans="1:49" ht="34.200000000000003">
      <c r="A156" s="1"/>
      <c r="B156" s="184"/>
      <c r="C156" s="93" t="s">
        <v>144</v>
      </c>
      <c r="D156" s="94">
        <v>4580.68</v>
      </c>
      <c r="E156" s="95">
        <v>7</v>
      </c>
      <c r="F156" s="96"/>
      <c r="G156" s="96"/>
      <c r="H156" s="97"/>
      <c r="I156" s="1"/>
      <c r="J156" s="1"/>
      <c r="K156" s="1"/>
      <c r="L156" s="1"/>
      <c r="M156" s="1"/>
      <c r="N156" s="1"/>
      <c r="O156" s="1"/>
      <c r="P156" s="184" t="s">
        <v>258</v>
      </c>
      <c r="Q156" s="87" t="s">
        <v>269</v>
      </c>
      <c r="R156" s="88">
        <v>0.38515429420634884</v>
      </c>
      <c r="S156" s="90">
        <v>0.55767984399968829</v>
      </c>
      <c r="T156" s="90">
        <v>1.2300271877760116E-3</v>
      </c>
      <c r="U156" s="89">
        <v>6</v>
      </c>
      <c r="V156" s="90">
        <v>0.99905845684580263</v>
      </c>
      <c r="W156" s="108">
        <v>2.5000000000002132E-2</v>
      </c>
      <c r="X156" s="108">
        <v>20.324753996051218</v>
      </c>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row>
    <row r="157" spans="1:49" ht="45.6">
      <c r="A157" s="1"/>
      <c r="B157" s="184" t="s">
        <v>54</v>
      </c>
      <c r="C157" s="87" t="s">
        <v>142</v>
      </c>
      <c r="D157" s="88">
        <v>4328.6500000000005</v>
      </c>
      <c r="E157" s="89">
        <v>3</v>
      </c>
      <c r="F157" s="90">
        <v>1442.8833333333334</v>
      </c>
      <c r="G157" s="90">
        <v>51.261509311069688</v>
      </c>
      <c r="H157" s="98">
        <v>1.1947832339277626E-3</v>
      </c>
      <c r="I157" s="1"/>
      <c r="J157" s="1"/>
      <c r="K157" s="1"/>
      <c r="L157" s="1"/>
      <c r="M157" s="1"/>
      <c r="N157" s="1"/>
      <c r="O157" s="1"/>
      <c r="P157" s="184"/>
      <c r="Q157" s="93" t="s">
        <v>270</v>
      </c>
      <c r="R157" s="105"/>
      <c r="S157" s="96"/>
      <c r="T157" s="106">
        <v>1.2300271877760114E-3</v>
      </c>
      <c r="U157" s="106">
        <v>5.4252787156019977</v>
      </c>
      <c r="V157" s="106">
        <v>0.99906254332618949</v>
      </c>
      <c r="W157" s="107">
        <v>2.5000000000002132E-2</v>
      </c>
      <c r="X157" s="107">
        <v>20.324753996051221</v>
      </c>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row>
    <row r="158" spans="1:49" ht="34.200000000000003">
      <c r="A158" s="1"/>
      <c r="B158" s="185"/>
      <c r="C158" s="87" t="s">
        <v>143</v>
      </c>
      <c r="D158" s="88">
        <v>112.58999999999995</v>
      </c>
      <c r="E158" s="89">
        <v>4</v>
      </c>
      <c r="F158" s="90">
        <v>28.147499999999987</v>
      </c>
      <c r="G158" s="91"/>
      <c r="H158" s="92"/>
      <c r="I158" s="1"/>
      <c r="J158" s="1"/>
      <c r="K158" s="1"/>
      <c r="L158" s="1"/>
      <c r="M158" s="1"/>
      <c r="N158" s="1"/>
      <c r="O158" s="1"/>
      <c r="P158" s="184" t="s">
        <v>81</v>
      </c>
      <c r="Q158" s="87" t="s">
        <v>269</v>
      </c>
      <c r="R158" s="88">
        <v>0.13646966966511684</v>
      </c>
      <c r="S158" s="90">
        <v>0.7245032015567221</v>
      </c>
      <c r="T158" s="90">
        <v>-9.7942691855277403E-4</v>
      </c>
      <c r="U158" s="89">
        <v>6</v>
      </c>
      <c r="V158" s="90">
        <v>0.99925028258021664</v>
      </c>
      <c r="W158" s="108">
        <v>-2.4999999999998579E-2</v>
      </c>
      <c r="X158" s="108">
        <v>25.525130590589864</v>
      </c>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row>
    <row r="159" spans="1:49" ht="45.6">
      <c r="A159" s="1"/>
      <c r="B159" s="184"/>
      <c r="C159" s="93" t="s">
        <v>144</v>
      </c>
      <c r="D159" s="94">
        <v>4441.2400000000007</v>
      </c>
      <c r="E159" s="95">
        <v>7</v>
      </c>
      <c r="F159" s="96"/>
      <c r="G159" s="96"/>
      <c r="H159" s="97"/>
      <c r="I159" s="1"/>
      <c r="J159" s="1"/>
      <c r="K159" s="1"/>
      <c r="L159" s="1"/>
      <c r="M159" s="1"/>
      <c r="N159" s="1"/>
      <c r="O159" s="1"/>
      <c r="P159" s="184"/>
      <c r="Q159" s="93" t="s">
        <v>270</v>
      </c>
      <c r="R159" s="105"/>
      <c r="S159" s="96"/>
      <c r="T159" s="106">
        <v>-9.7942691855277381E-4</v>
      </c>
      <c r="U159" s="106">
        <v>5.8392292632533147</v>
      </c>
      <c r="V159" s="106">
        <v>0.9992511305312447</v>
      </c>
      <c r="W159" s="107">
        <v>-2.4999999999998579E-2</v>
      </c>
      <c r="X159" s="107">
        <v>25.525130590589868</v>
      </c>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row>
    <row r="160" spans="1:49" ht="34.200000000000003">
      <c r="A160" s="1"/>
      <c r="B160" s="184" t="s">
        <v>262</v>
      </c>
      <c r="C160" s="87" t="s">
        <v>142</v>
      </c>
      <c r="D160" s="88">
        <v>8868.473750000001</v>
      </c>
      <c r="E160" s="89">
        <v>3</v>
      </c>
      <c r="F160" s="90">
        <v>2956.157916666667</v>
      </c>
      <c r="G160" s="90">
        <v>68.131898629637078</v>
      </c>
      <c r="H160" s="98">
        <v>6.8635063837261037E-4</v>
      </c>
      <c r="I160" s="1"/>
      <c r="J160" s="1"/>
      <c r="K160" s="1"/>
      <c r="L160" s="1"/>
      <c r="M160" s="1"/>
      <c r="N160" s="1"/>
      <c r="O160" s="1"/>
      <c r="P160" s="184" t="s">
        <v>259</v>
      </c>
      <c r="Q160" s="87" t="s">
        <v>269</v>
      </c>
      <c r="R160" s="88">
        <v>4.7479455213188006E-3</v>
      </c>
      <c r="S160" s="90">
        <v>0.94730398090394907</v>
      </c>
      <c r="T160" s="90">
        <v>1.1955261046295571E-3</v>
      </c>
      <c r="U160" s="89">
        <v>6</v>
      </c>
      <c r="V160" s="90">
        <v>0.99908486621354298</v>
      </c>
      <c r="W160" s="108">
        <v>2.4999999999998579E-2</v>
      </c>
      <c r="X160" s="108">
        <v>20.911295791190625</v>
      </c>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row>
    <row r="161" spans="1:49" ht="45.6">
      <c r="A161" s="1"/>
      <c r="B161" s="185"/>
      <c r="C161" s="87" t="s">
        <v>143</v>
      </c>
      <c r="D161" s="88">
        <v>173.55500000000006</v>
      </c>
      <c r="E161" s="89">
        <v>4</v>
      </c>
      <c r="F161" s="90">
        <v>43.388750000000016</v>
      </c>
      <c r="G161" s="91"/>
      <c r="H161" s="92"/>
      <c r="I161" s="1"/>
      <c r="J161" s="1"/>
      <c r="K161" s="1"/>
      <c r="L161" s="1"/>
      <c r="M161" s="1"/>
      <c r="N161" s="1"/>
      <c r="O161" s="1"/>
      <c r="P161" s="193"/>
      <c r="Q161" s="99" t="s">
        <v>270</v>
      </c>
      <c r="R161" s="109"/>
      <c r="S161" s="102"/>
      <c r="T161" s="110">
        <v>1.1955261046295571E-3</v>
      </c>
      <c r="U161" s="110">
        <v>5.9984235572797493</v>
      </c>
      <c r="V161" s="110">
        <v>0.99908487610232533</v>
      </c>
      <c r="W161" s="111">
        <v>2.4999999999998579E-2</v>
      </c>
      <c r="X161" s="111">
        <v>20.911295791190625</v>
      </c>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row>
    <row r="162" spans="1:49">
      <c r="A162" s="1"/>
      <c r="B162" s="184"/>
      <c r="C162" s="93" t="s">
        <v>144</v>
      </c>
      <c r="D162" s="94">
        <v>9042.0287500000013</v>
      </c>
      <c r="E162" s="95">
        <v>7</v>
      </c>
      <c r="F162" s="96"/>
      <c r="G162" s="96"/>
      <c r="H162" s="97"/>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row>
    <row r="163" spans="1:49" ht="22.8">
      <c r="A163" s="1"/>
      <c r="B163" s="184" t="s">
        <v>56</v>
      </c>
      <c r="C163" s="87" t="s">
        <v>142</v>
      </c>
      <c r="D163" s="88">
        <v>4951.4237499999999</v>
      </c>
      <c r="E163" s="89">
        <v>3</v>
      </c>
      <c r="F163" s="90">
        <v>1650.4745833333334</v>
      </c>
      <c r="G163" s="90">
        <v>95.783798815137175</v>
      </c>
      <c r="H163" s="98">
        <v>3.5179512933687765E-4</v>
      </c>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row>
    <row r="164" spans="1:49" ht="22.8">
      <c r="A164" s="1"/>
      <c r="B164" s="185"/>
      <c r="C164" s="87" t="s">
        <v>143</v>
      </c>
      <c r="D164" s="88">
        <v>68.92500000000004</v>
      </c>
      <c r="E164" s="89">
        <v>4</v>
      </c>
      <c r="F164" s="90">
        <v>17.23125000000001</v>
      </c>
      <c r="G164" s="91"/>
      <c r="H164" s="92"/>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row>
    <row r="165" spans="1:49">
      <c r="A165" s="1"/>
      <c r="B165" s="184"/>
      <c r="C165" s="93" t="s">
        <v>144</v>
      </c>
      <c r="D165" s="94">
        <v>5020.3487500000001</v>
      </c>
      <c r="E165" s="95">
        <v>7</v>
      </c>
      <c r="F165" s="96"/>
      <c r="G165" s="96"/>
      <c r="H165" s="97"/>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row>
    <row r="166" spans="1:49" ht="22.8">
      <c r="A166" s="1"/>
      <c r="B166" s="184" t="s">
        <v>57</v>
      </c>
      <c r="C166" s="87" t="s">
        <v>142</v>
      </c>
      <c r="D166" s="88">
        <v>3701.5450000000001</v>
      </c>
      <c r="E166" s="89">
        <v>3</v>
      </c>
      <c r="F166" s="90">
        <v>1233.8483333333334</v>
      </c>
      <c r="G166" s="90">
        <v>25.483520077107119</v>
      </c>
      <c r="H166" s="98">
        <v>4.5575921975586128E-3</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row>
    <row r="167" spans="1:49" ht="22.8">
      <c r="A167" s="1"/>
      <c r="B167" s="185"/>
      <c r="C167" s="87" t="s">
        <v>143</v>
      </c>
      <c r="D167" s="88">
        <v>193.6699999999999</v>
      </c>
      <c r="E167" s="89">
        <v>4</v>
      </c>
      <c r="F167" s="90">
        <v>48.417499999999976</v>
      </c>
      <c r="G167" s="91"/>
      <c r="H167" s="92"/>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row>
    <row r="168" spans="1:49">
      <c r="A168" s="1"/>
      <c r="B168" s="184"/>
      <c r="C168" s="93" t="s">
        <v>144</v>
      </c>
      <c r="D168" s="94">
        <v>3895.2150000000001</v>
      </c>
      <c r="E168" s="95">
        <v>7</v>
      </c>
      <c r="F168" s="96"/>
      <c r="G168" s="96"/>
      <c r="H168" s="97"/>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row>
    <row r="169" spans="1:49" ht="22.8">
      <c r="A169" s="1"/>
      <c r="B169" s="184" t="s">
        <v>58</v>
      </c>
      <c r="C169" s="87" t="s">
        <v>142</v>
      </c>
      <c r="D169" s="88">
        <v>4760.0337500000005</v>
      </c>
      <c r="E169" s="89">
        <v>3</v>
      </c>
      <c r="F169" s="90">
        <v>1586.6779166666668</v>
      </c>
      <c r="G169" s="90">
        <v>63.686836251735137</v>
      </c>
      <c r="H169" s="98">
        <v>7.8305479829894674E-4</v>
      </c>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row>
    <row r="170" spans="1:49" ht="22.8">
      <c r="A170" s="1"/>
      <c r="B170" s="185"/>
      <c r="C170" s="87" t="s">
        <v>143</v>
      </c>
      <c r="D170" s="88">
        <v>99.65500000000003</v>
      </c>
      <c r="E170" s="89">
        <v>4</v>
      </c>
      <c r="F170" s="90">
        <v>24.913750000000007</v>
      </c>
      <c r="G170" s="91"/>
      <c r="H170" s="92"/>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row>
    <row r="171" spans="1:49">
      <c r="A171" s="1"/>
      <c r="B171" s="184"/>
      <c r="C171" s="93" t="s">
        <v>144</v>
      </c>
      <c r="D171" s="94">
        <v>4859.6887500000003</v>
      </c>
      <c r="E171" s="95">
        <v>7</v>
      </c>
      <c r="F171" s="96"/>
      <c r="G171" s="96"/>
      <c r="H171" s="97"/>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row>
    <row r="172" spans="1:49" ht="22.8">
      <c r="A172" s="1"/>
      <c r="B172" s="184" t="s">
        <v>59</v>
      </c>
      <c r="C172" s="87" t="s">
        <v>142</v>
      </c>
      <c r="D172" s="88">
        <v>3868.0500000000006</v>
      </c>
      <c r="E172" s="89">
        <v>3</v>
      </c>
      <c r="F172" s="90">
        <v>1289.3500000000001</v>
      </c>
      <c r="G172" s="90">
        <v>757.32745961820899</v>
      </c>
      <c r="H172" s="98">
        <v>5.7880048165351368E-6</v>
      </c>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row>
    <row r="173" spans="1:49" ht="22.8">
      <c r="A173" s="1"/>
      <c r="B173" s="185"/>
      <c r="C173" s="87" t="s">
        <v>143</v>
      </c>
      <c r="D173" s="88">
        <v>6.8099999999999961</v>
      </c>
      <c r="E173" s="89">
        <v>4</v>
      </c>
      <c r="F173" s="90">
        <v>1.702499999999999</v>
      </c>
      <c r="G173" s="91"/>
      <c r="H173" s="92"/>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row>
    <row r="174" spans="1:49">
      <c r="A174" s="1"/>
      <c r="B174" s="184"/>
      <c r="C174" s="93" t="s">
        <v>144</v>
      </c>
      <c r="D174" s="94">
        <v>3874.8600000000006</v>
      </c>
      <c r="E174" s="95">
        <v>7</v>
      </c>
      <c r="F174" s="96"/>
      <c r="G174" s="96"/>
      <c r="H174" s="97"/>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row>
    <row r="175" spans="1:49" ht="22.8">
      <c r="A175" s="1"/>
      <c r="B175" s="184" t="s">
        <v>263</v>
      </c>
      <c r="C175" s="87" t="s">
        <v>142</v>
      </c>
      <c r="D175" s="88">
        <v>7480.0049999999983</v>
      </c>
      <c r="E175" s="89">
        <v>3</v>
      </c>
      <c r="F175" s="90">
        <v>2493.3349999999996</v>
      </c>
      <c r="G175" s="90">
        <v>59.946745206467483</v>
      </c>
      <c r="H175" s="98">
        <v>8.8118234381987892E-4</v>
      </c>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row>
    <row r="176" spans="1:49" ht="22.8">
      <c r="A176" s="1"/>
      <c r="B176" s="185"/>
      <c r="C176" s="87" t="s">
        <v>143</v>
      </c>
      <c r="D176" s="88">
        <v>166.37000000000006</v>
      </c>
      <c r="E176" s="89">
        <v>4</v>
      </c>
      <c r="F176" s="90">
        <v>41.592500000000015</v>
      </c>
      <c r="G176" s="91"/>
      <c r="H176" s="92"/>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row>
    <row r="177" spans="1:49">
      <c r="A177" s="1"/>
      <c r="B177" s="184"/>
      <c r="C177" s="93" t="s">
        <v>144</v>
      </c>
      <c r="D177" s="94">
        <v>7646.3749999999982</v>
      </c>
      <c r="E177" s="95">
        <v>7</v>
      </c>
      <c r="F177" s="96"/>
      <c r="G177" s="96"/>
      <c r="H177" s="97"/>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row>
    <row r="178" spans="1:49" ht="22.8">
      <c r="A178" s="1"/>
      <c r="B178" s="184" t="s">
        <v>62</v>
      </c>
      <c r="C178" s="87" t="s">
        <v>142</v>
      </c>
      <c r="D178" s="88">
        <v>6685.8699999999972</v>
      </c>
      <c r="E178" s="89">
        <v>3</v>
      </c>
      <c r="F178" s="90">
        <v>2228.6233333333325</v>
      </c>
      <c r="G178" s="90">
        <v>294.30483107736296</v>
      </c>
      <c r="H178" s="98">
        <v>3.8080602752684666E-5</v>
      </c>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row>
    <row r="179" spans="1:49" ht="22.8">
      <c r="A179" s="1"/>
      <c r="B179" s="185"/>
      <c r="C179" s="87" t="s">
        <v>143</v>
      </c>
      <c r="D179" s="88">
        <v>30.29000000000002</v>
      </c>
      <c r="E179" s="89">
        <v>4</v>
      </c>
      <c r="F179" s="90">
        <v>7.5725000000000051</v>
      </c>
      <c r="G179" s="91"/>
      <c r="H179" s="92"/>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row>
    <row r="180" spans="1:49">
      <c r="A180" s="1"/>
      <c r="B180" s="184"/>
      <c r="C180" s="93" t="s">
        <v>144</v>
      </c>
      <c r="D180" s="94">
        <v>6716.1599999999971</v>
      </c>
      <c r="E180" s="95">
        <v>7</v>
      </c>
      <c r="F180" s="96"/>
      <c r="G180" s="96"/>
      <c r="H180" s="97"/>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row>
    <row r="181" spans="1:49" ht="22.8">
      <c r="A181" s="1"/>
      <c r="B181" s="184" t="s">
        <v>63</v>
      </c>
      <c r="C181" s="87" t="s">
        <v>142</v>
      </c>
      <c r="D181" s="88">
        <v>9353.7699999999986</v>
      </c>
      <c r="E181" s="89">
        <v>3</v>
      </c>
      <c r="F181" s="90">
        <v>3117.9233333333327</v>
      </c>
      <c r="G181" s="90">
        <v>98.256466818981593</v>
      </c>
      <c r="H181" s="98">
        <v>3.3458126928937745E-4</v>
      </c>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row>
    <row r="182" spans="1:49" ht="22.8">
      <c r="A182" s="1"/>
      <c r="B182" s="185"/>
      <c r="C182" s="87" t="s">
        <v>143</v>
      </c>
      <c r="D182" s="88">
        <v>126.92999999999996</v>
      </c>
      <c r="E182" s="89">
        <v>4</v>
      </c>
      <c r="F182" s="90">
        <v>31.732499999999991</v>
      </c>
      <c r="G182" s="91"/>
      <c r="H182" s="92"/>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row>
    <row r="183" spans="1:49">
      <c r="A183" s="1"/>
      <c r="B183" s="184"/>
      <c r="C183" s="93" t="s">
        <v>144</v>
      </c>
      <c r="D183" s="94">
        <v>9480.6999999999989</v>
      </c>
      <c r="E183" s="95">
        <v>7</v>
      </c>
      <c r="F183" s="96"/>
      <c r="G183" s="96"/>
      <c r="H183" s="97"/>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row>
    <row r="184" spans="1:49" ht="22.8">
      <c r="A184" s="1"/>
      <c r="B184" s="184" t="s">
        <v>64</v>
      </c>
      <c r="C184" s="87" t="s">
        <v>142</v>
      </c>
      <c r="D184" s="88">
        <v>3105.0137500000001</v>
      </c>
      <c r="E184" s="89">
        <v>3</v>
      </c>
      <c r="F184" s="90">
        <v>1035.0045833333334</v>
      </c>
      <c r="G184" s="90">
        <v>29.555726099113578</v>
      </c>
      <c r="H184" s="98">
        <v>3.4428884847585509E-3</v>
      </c>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row>
    <row r="185" spans="1:49" ht="22.8">
      <c r="A185" s="1"/>
      <c r="B185" s="185"/>
      <c r="C185" s="87" t="s">
        <v>143</v>
      </c>
      <c r="D185" s="88">
        <v>140.07499999999996</v>
      </c>
      <c r="E185" s="89">
        <v>4</v>
      </c>
      <c r="F185" s="90">
        <v>35.01874999999999</v>
      </c>
      <c r="G185" s="91"/>
      <c r="H185" s="92"/>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row>
    <row r="186" spans="1:49">
      <c r="A186" s="1"/>
      <c r="B186" s="184"/>
      <c r="C186" s="93" t="s">
        <v>144</v>
      </c>
      <c r="D186" s="94">
        <v>3245.0887499999999</v>
      </c>
      <c r="E186" s="95">
        <v>7</v>
      </c>
      <c r="F186" s="96"/>
      <c r="G186" s="96"/>
      <c r="H186" s="97"/>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row>
    <row r="187" spans="1:49" ht="22.8">
      <c r="A187" s="1"/>
      <c r="B187" s="184" t="s">
        <v>65</v>
      </c>
      <c r="C187" s="87" t="s">
        <v>142</v>
      </c>
      <c r="D187" s="88">
        <v>4326.7837500000005</v>
      </c>
      <c r="E187" s="89">
        <v>3</v>
      </c>
      <c r="F187" s="90">
        <v>1442.2612500000002</v>
      </c>
      <c r="G187" s="90">
        <v>93.011608222490864</v>
      </c>
      <c r="H187" s="98">
        <v>3.7272223301160261E-4</v>
      </c>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row>
    <row r="188" spans="1:49" ht="22.8">
      <c r="A188" s="1"/>
      <c r="B188" s="185"/>
      <c r="C188" s="87" t="s">
        <v>143</v>
      </c>
      <c r="D188" s="88">
        <v>62.025000000000055</v>
      </c>
      <c r="E188" s="89">
        <v>4</v>
      </c>
      <c r="F188" s="90">
        <v>15.506250000000014</v>
      </c>
      <c r="G188" s="91"/>
      <c r="H188" s="92"/>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row>
    <row r="189" spans="1:49">
      <c r="A189" s="1"/>
      <c r="B189" s="184"/>
      <c r="C189" s="93" t="s">
        <v>144</v>
      </c>
      <c r="D189" s="94">
        <v>4388.8087500000001</v>
      </c>
      <c r="E189" s="95">
        <v>7</v>
      </c>
      <c r="F189" s="96"/>
      <c r="G189" s="96"/>
      <c r="H189" s="97"/>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row>
    <row r="190" spans="1:49" ht="22.8">
      <c r="A190" s="1"/>
      <c r="B190" s="184" t="s">
        <v>66</v>
      </c>
      <c r="C190" s="87" t="s">
        <v>142</v>
      </c>
      <c r="D190" s="88">
        <v>2019.4637500000001</v>
      </c>
      <c r="E190" s="89">
        <v>3</v>
      </c>
      <c r="F190" s="90">
        <v>673.15458333333333</v>
      </c>
      <c r="G190" s="90">
        <v>241.59877374009253</v>
      </c>
      <c r="H190" s="98">
        <v>5.6378409597214871E-5</v>
      </c>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row>
    <row r="191" spans="1:49" ht="22.8">
      <c r="A191" s="1"/>
      <c r="B191" s="185"/>
      <c r="C191" s="87" t="s">
        <v>143</v>
      </c>
      <c r="D191" s="88">
        <v>11.145000000000008</v>
      </c>
      <c r="E191" s="89">
        <v>4</v>
      </c>
      <c r="F191" s="90">
        <v>2.7862500000000021</v>
      </c>
      <c r="G191" s="91"/>
      <c r="H191" s="92"/>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row>
    <row r="192" spans="1:49">
      <c r="A192" s="1"/>
      <c r="B192" s="184"/>
      <c r="C192" s="93" t="s">
        <v>144</v>
      </c>
      <c r="D192" s="94">
        <v>2030.6087500000001</v>
      </c>
      <c r="E192" s="95">
        <v>7</v>
      </c>
      <c r="F192" s="96"/>
      <c r="G192" s="96"/>
      <c r="H192" s="97"/>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row>
    <row r="193" spans="1:49" ht="22.8">
      <c r="A193" s="1"/>
      <c r="B193" s="184" t="s">
        <v>68</v>
      </c>
      <c r="C193" s="87" t="s">
        <v>142</v>
      </c>
      <c r="D193" s="88">
        <v>6144.9800000000032</v>
      </c>
      <c r="E193" s="89">
        <v>3</v>
      </c>
      <c r="F193" s="90">
        <v>2048.3266666666677</v>
      </c>
      <c r="G193" s="90">
        <v>166.73395740062406</v>
      </c>
      <c r="H193" s="98">
        <v>1.1769571187522341E-4</v>
      </c>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row>
    <row r="194" spans="1:49" ht="22.8">
      <c r="A194" s="1"/>
      <c r="B194" s="185"/>
      <c r="C194" s="87" t="s">
        <v>143</v>
      </c>
      <c r="D194" s="88">
        <v>49.140000000000029</v>
      </c>
      <c r="E194" s="89">
        <v>4</v>
      </c>
      <c r="F194" s="90">
        <v>12.285000000000007</v>
      </c>
      <c r="G194" s="91"/>
      <c r="H194" s="92"/>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row>
    <row r="195" spans="1:49">
      <c r="A195" s="1"/>
      <c r="B195" s="184"/>
      <c r="C195" s="93" t="s">
        <v>144</v>
      </c>
      <c r="D195" s="94">
        <v>6194.1200000000035</v>
      </c>
      <c r="E195" s="95">
        <v>7</v>
      </c>
      <c r="F195" s="96"/>
      <c r="G195" s="96"/>
      <c r="H195" s="97"/>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row>
    <row r="196" spans="1:49" ht="22.8">
      <c r="A196" s="1"/>
      <c r="B196" s="184" t="s">
        <v>69</v>
      </c>
      <c r="C196" s="87" t="s">
        <v>142</v>
      </c>
      <c r="D196" s="88">
        <v>2747.9537499999997</v>
      </c>
      <c r="E196" s="89">
        <v>3</v>
      </c>
      <c r="F196" s="90">
        <v>915.98458333333326</v>
      </c>
      <c r="G196" s="90">
        <v>1975.1689128481544</v>
      </c>
      <c r="H196" s="98">
        <v>8.530734784993819E-7</v>
      </c>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row>
    <row r="197" spans="1:49" ht="22.8">
      <c r="A197" s="1"/>
      <c r="B197" s="185"/>
      <c r="C197" s="87" t="s">
        <v>143</v>
      </c>
      <c r="D197" s="88">
        <v>1.8550000000000033</v>
      </c>
      <c r="E197" s="89">
        <v>4</v>
      </c>
      <c r="F197" s="90">
        <v>0.46375000000000083</v>
      </c>
      <c r="G197" s="91"/>
      <c r="H197" s="92"/>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row>
    <row r="198" spans="1:49">
      <c r="A198" s="1"/>
      <c r="B198" s="184"/>
      <c r="C198" s="93" t="s">
        <v>144</v>
      </c>
      <c r="D198" s="94">
        <v>2749.8087499999997</v>
      </c>
      <c r="E198" s="95">
        <v>7</v>
      </c>
      <c r="F198" s="96"/>
      <c r="G198" s="96"/>
      <c r="H198" s="97"/>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row>
    <row r="199" spans="1:49" ht="22.8">
      <c r="A199" s="1"/>
      <c r="B199" s="184" t="s">
        <v>70</v>
      </c>
      <c r="C199" s="87" t="s">
        <v>142</v>
      </c>
      <c r="D199" s="88">
        <v>3985.2937499999998</v>
      </c>
      <c r="E199" s="89">
        <v>3</v>
      </c>
      <c r="F199" s="90">
        <v>1328.4312499999999</v>
      </c>
      <c r="G199" s="90">
        <v>101.3779452446819</v>
      </c>
      <c r="H199" s="98">
        <v>3.1459696792350398E-4</v>
      </c>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row>
    <row r="200" spans="1:49" ht="22.8">
      <c r="A200" s="1"/>
      <c r="B200" s="185"/>
      <c r="C200" s="87" t="s">
        <v>143</v>
      </c>
      <c r="D200" s="88">
        <v>52.414999999999978</v>
      </c>
      <c r="E200" s="89">
        <v>4</v>
      </c>
      <c r="F200" s="90">
        <v>13.103749999999994</v>
      </c>
      <c r="G200" s="91"/>
      <c r="H200" s="92"/>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row>
    <row r="201" spans="1:49">
      <c r="A201" s="1"/>
      <c r="B201" s="184"/>
      <c r="C201" s="93" t="s">
        <v>144</v>
      </c>
      <c r="D201" s="94">
        <v>4037.7087499999998</v>
      </c>
      <c r="E201" s="95">
        <v>7</v>
      </c>
      <c r="F201" s="96"/>
      <c r="G201" s="96"/>
      <c r="H201" s="97"/>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row>
    <row r="202" spans="1:49" ht="22.8">
      <c r="A202" s="1"/>
      <c r="B202" s="184" t="s">
        <v>71</v>
      </c>
      <c r="C202" s="87" t="s">
        <v>142</v>
      </c>
      <c r="D202" s="88">
        <v>3938.923749999999</v>
      </c>
      <c r="E202" s="89">
        <v>3</v>
      </c>
      <c r="F202" s="90">
        <v>1312.9745833333329</v>
      </c>
      <c r="G202" s="90">
        <v>28.588760966404465</v>
      </c>
      <c r="H202" s="98">
        <v>3.6672450289710061E-3</v>
      </c>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row>
    <row r="203" spans="1:49" ht="22.8">
      <c r="A203" s="1"/>
      <c r="B203" s="185"/>
      <c r="C203" s="87" t="s">
        <v>143</v>
      </c>
      <c r="D203" s="88">
        <v>183.70499999999998</v>
      </c>
      <c r="E203" s="89">
        <v>4</v>
      </c>
      <c r="F203" s="90">
        <v>45.926249999999996</v>
      </c>
      <c r="G203" s="91"/>
      <c r="H203" s="92"/>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row>
    <row r="204" spans="1:49">
      <c r="A204" s="1"/>
      <c r="B204" s="184"/>
      <c r="C204" s="93" t="s">
        <v>144</v>
      </c>
      <c r="D204" s="94">
        <v>4122.6287499999989</v>
      </c>
      <c r="E204" s="95">
        <v>7</v>
      </c>
      <c r="F204" s="96"/>
      <c r="G204" s="96"/>
      <c r="H204" s="97"/>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row>
    <row r="205" spans="1:49" ht="22.8">
      <c r="A205" s="1"/>
      <c r="B205" s="184" t="s">
        <v>72</v>
      </c>
      <c r="C205" s="87" t="s">
        <v>142</v>
      </c>
      <c r="D205" s="88">
        <v>6473.24</v>
      </c>
      <c r="E205" s="89">
        <v>3</v>
      </c>
      <c r="F205" s="90">
        <v>2157.7466666666664</v>
      </c>
      <c r="G205" s="90">
        <v>91.082594625017592</v>
      </c>
      <c r="H205" s="98">
        <v>3.8840583055858342E-4</v>
      </c>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row>
    <row r="206" spans="1:49" ht="22.8">
      <c r="A206" s="1"/>
      <c r="B206" s="185"/>
      <c r="C206" s="87" t="s">
        <v>143</v>
      </c>
      <c r="D206" s="88">
        <v>94.759999999999991</v>
      </c>
      <c r="E206" s="89">
        <v>4</v>
      </c>
      <c r="F206" s="90">
        <v>23.689999999999998</v>
      </c>
      <c r="G206" s="91"/>
      <c r="H206" s="92"/>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row>
    <row r="207" spans="1:49">
      <c r="A207" s="1"/>
      <c r="B207" s="184"/>
      <c r="C207" s="93" t="s">
        <v>144</v>
      </c>
      <c r="D207" s="94">
        <v>6568</v>
      </c>
      <c r="E207" s="95">
        <v>7</v>
      </c>
      <c r="F207" s="96"/>
      <c r="G207" s="96"/>
      <c r="H207" s="97"/>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row>
    <row r="208" spans="1:49" ht="22.8">
      <c r="A208" s="1"/>
      <c r="B208" s="184" t="s">
        <v>73</v>
      </c>
      <c r="C208" s="87" t="s">
        <v>142</v>
      </c>
      <c r="D208" s="88">
        <v>3366.7249999999999</v>
      </c>
      <c r="E208" s="89">
        <v>3</v>
      </c>
      <c r="F208" s="90">
        <v>1122.2416666666666</v>
      </c>
      <c r="G208" s="90">
        <v>23.747376959565493</v>
      </c>
      <c r="H208" s="98">
        <v>5.204204105012023E-3</v>
      </c>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row>
    <row r="209" spans="1:49" ht="22.8">
      <c r="A209" s="1"/>
      <c r="B209" s="185"/>
      <c r="C209" s="87" t="s">
        <v>143</v>
      </c>
      <c r="D209" s="88">
        <v>189.03000000000006</v>
      </c>
      <c r="E209" s="89">
        <v>4</v>
      </c>
      <c r="F209" s="90">
        <v>47.257500000000014</v>
      </c>
      <c r="G209" s="91"/>
      <c r="H209" s="92"/>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row>
    <row r="210" spans="1:49">
      <c r="A210" s="1"/>
      <c r="B210" s="184"/>
      <c r="C210" s="93" t="s">
        <v>144</v>
      </c>
      <c r="D210" s="94">
        <v>3555.7550000000001</v>
      </c>
      <c r="E210" s="95">
        <v>7</v>
      </c>
      <c r="F210" s="96"/>
      <c r="G210" s="96"/>
      <c r="H210" s="97"/>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row>
    <row r="211" spans="1:49" ht="22.8">
      <c r="A211" s="1"/>
      <c r="B211" s="184" t="s">
        <v>256</v>
      </c>
      <c r="C211" s="87" t="s">
        <v>142</v>
      </c>
      <c r="D211" s="88">
        <v>5680.614999999998</v>
      </c>
      <c r="E211" s="89">
        <v>3</v>
      </c>
      <c r="F211" s="90">
        <v>1893.5383333333327</v>
      </c>
      <c r="G211" s="90">
        <v>74.991617161716164</v>
      </c>
      <c r="H211" s="98">
        <v>5.6885421346993253E-4</v>
      </c>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row>
    <row r="212" spans="1:49" ht="22.8">
      <c r="A212" s="1"/>
      <c r="B212" s="185"/>
      <c r="C212" s="87" t="s">
        <v>143</v>
      </c>
      <c r="D212" s="88">
        <v>100.99999999999997</v>
      </c>
      <c r="E212" s="89">
        <v>4</v>
      </c>
      <c r="F212" s="90">
        <v>25.249999999999993</v>
      </c>
      <c r="G212" s="91"/>
      <c r="H212" s="92"/>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row>
    <row r="213" spans="1:49">
      <c r="A213" s="1"/>
      <c r="B213" s="184"/>
      <c r="C213" s="93" t="s">
        <v>144</v>
      </c>
      <c r="D213" s="94">
        <v>5781.614999999998</v>
      </c>
      <c r="E213" s="95">
        <v>7</v>
      </c>
      <c r="F213" s="96"/>
      <c r="G213" s="96"/>
      <c r="H213" s="97"/>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row>
    <row r="214" spans="1:49" ht="22.8">
      <c r="A214" s="1"/>
      <c r="B214" s="184" t="s">
        <v>75</v>
      </c>
      <c r="C214" s="87" t="s">
        <v>142</v>
      </c>
      <c r="D214" s="88">
        <v>7399.1137500000023</v>
      </c>
      <c r="E214" s="89">
        <v>3</v>
      </c>
      <c r="F214" s="90">
        <v>2466.3712500000006</v>
      </c>
      <c r="G214" s="90">
        <v>72.224349353929526</v>
      </c>
      <c r="H214" s="98">
        <v>6.1232446163601276E-4</v>
      </c>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row>
    <row r="215" spans="1:49" ht="22.8">
      <c r="A215" s="1"/>
      <c r="B215" s="185"/>
      <c r="C215" s="87" t="s">
        <v>143</v>
      </c>
      <c r="D215" s="88">
        <v>136.59499999999997</v>
      </c>
      <c r="E215" s="89">
        <v>4</v>
      </c>
      <c r="F215" s="90">
        <v>34.148749999999993</v>
      </c>
      <c r="G215" s="91"/>
      <c r="H215" s="92"/>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row>
    <row r="216" spans="1:49">
      <c r="A216" s="1"/>
      <c r="B216" s="184"/>
      <c r="C216" s="93" t="s">
        <v>144</v>
      </c>
      <c r="D216" s="94">
        <v>7535.7087500000025</v>
      </c>
      <c r="E216" s="95">
        <v>7</v>
      </c>
      <c r="F216" s="96"/>
      <c r="G216" s="96"/>
      <c r="H216" s="97"/>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row>
    <row r="217" spans="1:49" ht="22.8">
      <c r="A217" s="1"/>
      <c r="B217" s="184" t="s">
        <v>76</v>
      </c>
      <c r="C217" s="87" t="s">
        <v>142</v>
      </c>
      <c r="D217" s="88">
        <v>10632.463749999999</v>
      </c>
      <c r="E217" s="89">
        <v>3</v>
      </c>
      <c r="F217" s="90">
        <v>3544.154583333333</v>
      </c>
      <c r="G217" s="90">
        <v>414.21821280740244</v>
      </c>
      <c r="H217" s="98">
        <v>1.9282525794501396E-5</v>
      </c>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row>
    <row r="218" spans="1:49" ht="22.8">
      <c r="A218" s="1"/>
      <c r="B218" s="185"/>
      <c r="C218" s="87" t="s">
        <v>143</v>
      </c>
      <c r="D218" s="88">
        <v>34.224999999999959</v>
      </c>
      <c r="E218" s="89">
        <v>4</v>
      </c>
      <c r="F218" s="90">
        <v>8.5562499999999897</v>
      </c>
      <c r="G218" s="91"/>
      <c r="H218" s="92"/>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row>
    <row r="219" spans="1:49">
      <c r="A219" s="1"/>
      <c r="B219" s="184"/>
      <c r="C219" s="93" t="s">
        <v>144</v>
      </c>
      <c r="D219" s="94">
        <v>10666.688749999999</v>
      </c>
      <c r="E219" s="95">
        <v>7</v>
      </c>
      <c r="F219" s="96"/>
      <c r="G219" s="96"/>
      <c r="H219" s="97"/>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row>
    <row r="220" spans="1:49" ht="22.8">
      <c r="A220" s="1"/>
      <c r="B220" s="184" t="s">
        <v>257</v>
      </c>
      <c r="C220" s="87" t="s">
        <v>142</v>
      </c>
      <c r="D220" s="88">
        <v>5484.6299999999992</v>
      </c>
      <c r="E220" s="89">
        <v>3</v>
      </c>
      <c r="F220" s="90">
        <v>1828.2099999999998</v>
      </c>
      <c r="G220" s="90">
        <v>215.65437923916213</v>
      </c>
      <c r="H220" s="98">
        <v>7.0650782759367343E-5</v>
      </c>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row>
    <row r="221" spans="1:49" ht="22.8">
      <c r="A221" s="1"/>
      <c r="B221" s="185"/>
      <c r="C221" s="87" t="s">
        <v>143</v>
      </c>
      <c r="D221" s="88">
        <v>33.910000000000053</v>
      </c>
      <c r="E221" s="89">
        <v>4</v>
      </c>
      <c r="F221" s="90">
        <v>8.4775000000000134</v>
      </c>
      <c r="G221" s="91"/>
      <c r="H221" s="92"/>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row>
    <row r="222" spans="1:49">
      <c r="A222" s="1"/>
      <c r="B222" s="184"/>
      <c r="C222" s="93" t="s">
        <v>144</v>
      </c>
      <c r="D222" s="94">
        <v>5518.5399999999991</v>
      </c>
      <c r="E222" s="95">
        <v>7</v>
      </c>
      <c r="F222" s="96"/>
      <c r="G222" s="96"/>
      <c r="H222" s="97"/>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row>
    <row r="223" spans="1:49" ht="22.8">
      <c r="A223" s="1"/>
      <c r="B223" s="184" t="s">
        <v>78</v>
      </c>
      <c r="C223" s="87" t="s">
        <v>142</v>
      </c>
      <c r="D223" s="88">
        <v>6493.2937499999989</v>
      </c>
      <c r="E223" s="89">
        <v>3</v>
      </c>
      <c r="F223" s="90">
        <v>2164.4312499999996</v>
      </c>
      <c r="G223" s="90">
        <v>64.922387612013054</v>
      </c>
      <c r="H223" s="98">
        <v>7.5421949011806298E-4</v>
      </c>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row>
    <row r="224" spans="1:49" ht="22.8">
      <c r="A224" s="1"/>
      <c r="B224" s="185"/>
      <c r="C224" s="87" t="s">
        <v>143</v>
      </c>
      <c r="D224" s="88">
        <v>133.35499999999996</v>
      </c>
      <c r="E224" s="89">
        <v>4</v>
      </c>
      <c r="F224" s="90">
        <v>33.33874999999999</v>
      </c>
      <c r="G224" s="91"/>
      <c r="H224" s="92"/>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row>
    <row r="225" spans="1:49">
      <c r="A225" s="1"/>
      <c r="B225" s="184"/>
      <c r="C225" s="93" t="s">
        <v>144</v>
      </c>
      <c r="D225" s="94">
        <v>6626.6487499999985</v>
      </c>
      <c r="E225" s="95">
        <v>7</v>
      </c>
      <c r="F225" s="96"/>
      <c r="G225" s="96"/>
      <c r="H225" s="97"/>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row>
    <row r="226" spans="1:49" ht="22.8">
      <c r="A226" s="1"/>
      <c r="B226" s="184" t="s">
        <v>79</v>
      </c>
      <c r="C226" s="87" t="s">
        <v>142</v>
      </c>
      <c r="D226" s="88">
        <v>4028.92</v>
      </c>
      <c r="E226" s="89">
        <v>3</v>
      </c>
      <c r="F226" s="90">
        <v>1342.9733333333334</v>
      </c>
      <c r="G226" s="90">
        <v>28.101555416056353</v>
      </c>
      <c r="H226" s="98">
        <v>3.7886877893107272E-3</v>
      </c>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row>
    <row r="227" spans="1:49" ht="22.8">
      <c r="A227" s="1"/>
      <c r="B227" s="185"/>
      <c r="C227" s="87" t="s">
        <v>143</v>
      </c>
      <c r="D227" s="88">
        <v>191.16000000000003</v>
      </c>
      <c r="E227" s="89">
        <v>4</v>
      </c>
      <c r="F227" s="90">
        <v>47.790000000000006</v>
      </c>
      <c r="G227" s="91"/>
      <c r="H227" s="92"/>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row>
    <row r="228" spans="1:49">
      <c r="A228" s="1"/>
      <c r="B228" s="184"/>
      <c r="C228" s="93" t="s">
        <v>144</v>
      </c>
      <c r="D228" s="94">
        <v>4220.08</v>
      </c>
      <c r="E228" s="95">
        <v>7</v>
      </c>
      <c r="F228" s="96"/>
      <c r="G228" s="96"/>
      <c r="H228" s="97"/>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row>
    <row r="229" spans="1:49" ht="22.8">
      <c r="A229" s="1"/>
      <c r="B229" s="184" t="s">
        <v>258</v>
      </c>
      <c r="C229" s="87" t="s">
        <v>142</v>
      </c>
      <c r="D229" s="88">
        <v>4782.2737499999994</v>
      </c>
      <c r="E229" s="89">
        <v>3</v>
      </c>
      <c r="F229" s="90">
        <v>1594.0912499999997</v>
      </c>
      <c r="G229" s="90">
        <v>36.462416011436737</v>
      </c>
      <c r="H229" s="98">
        <v>2.3057964661676198E-3</v>
      </c>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row>
    <row r="230" spans="1:49" ht="22.8">
      <c r="A230" s="1"/>
      <c r="B230" s="185"/>
      <c r="C230" s="87" t="s">
        <v>143</v>
      </c>
      <c r="D230" s="88">
        <v>174.875</v>
      </c>
      <c r="E230" s="89">
        <v>4</v>
      </c>
      <c r="F230" s="90">
        <v>43.71875</v>
      </c>
      <c r="G230" s="91"/>
      <c r="H230" s="92"/>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row>
    <row r="231" spans="1:49">
      <c r="A231" s="1"/>
      <c r="B231" s="184"/>
      <c r="C231" s="93" t="s">
        <v>144</v>
      </c>
      <c r="D231" s="94">
        <v>4957.1487499999994</v>
      </c>
      <c r="E231" s="95">
        <v>7</v>
      </c>
      <c r="F231" s="96"/>
      <c r="G231" s="96"/>
      <c r="H231" s="97"/>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row>
    <row r="232" spans="1:49" ht="22.8">
      <c r="A232" s="1"/>
      <c r="B232" s="184" t="s">
        <v>81</v>
      </c>
      <c r="C232" s="87" t="s">
        <v>142</v>
      </c>
      <c r="D232" s="88">
        <v>7743.1737499999981</v>
      </c>
      <c r="E232" s="89">
        <v>3</v>
      </c>
      <c r="F232" s="90">
        <v>2581.0579166666662</v>
      </c>
      <c r="G232" s="90">
        <v>137.26293514148315</v>
      </c>
      <c r="H232" s="98">
        <v>1.7297296336875315E-4</v>
      </c>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row>
    <row r="233" spans="1:49" ht="22.8">
      <c r="A233" s="1"/>
      <c r="B233" s="185"/>
      <c r="C233" s="87" t="s">
        <v>143</v>
      </c>
      <c r="D233" s="88">
        <v>75.215000000000074</v>
      </c>
      <c r="E233" s="89">
        <v>4</v>
      </c>
      <c r="F233" s="90">
        <v>18.803750000000019</v>
      </c>
      <c r="G233" s="91"/>
      <c r="H233" s="92"/>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row>
    <row r="234" spans="1:49">
      <c r="A234" s="1"/>
      <c r="B234" s="184"/>
      <c r="C234" s="93" t="s">
        <v>144</v>
      </c>
      <c r="D234" s="94">
        <v>7818.3887499999983</v>
      </c>
      <c r="E234" s="95">
        <v>7</v>
      </c>
      <c r="F234" s="96"/>
      <c r="G234" s="96"/>
      <c r="H234" s="97"/>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row>
    <row r="235" spans="1:49" ht="22.8">
      <c r="A235" s="1"/>
      <c r="B235" s="184" t="s">
        <v>259</v>
      </c>
      <c r="C235" s="87" t="s">
        <v>142</v>
      </c>
      <c r="D235" s="88">
        <v>5245.723750000001</v>
      </c>
      <c r="E235" s="89">
        <v>3</v>
      </c>
      <c r="F235" s="90">
        <v>1748.5745833333337</v>
      </c>
      <c r="G235" s="90">
        <v>4200.7797797797866</v>
      </c>
      <c r="H235" s="98">
        <v>1.8875450637094339E-7</v>
      </c>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row>
    <row r="236" spans="1:49" ht="22.8">
      <c r="A236" s="1"/>
      <c r="B236" s="185"/>
      <c r="C236" s="87" t="s">
        <v>143</v>
      </c>
      <c r="D236" s="88">
        <v>1.6649999999999976</v>
      </c>
      <c r="E236" s="89">
        <v>4</v>
      </c>
      <c r="F236" s="90">
        <v>0.4162499999999994</v>
      </c>
      <c r="G236" s="91"/>
      <c r="H236" s="92"/>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row>
    <row r="237" spans="1:49">
      <c r="A237" s="1"/>
      <c r="B237" s="193"/>
      <c r="C237" s="99" t="s">
        <v>144</v>
      </c>
      <c r="D237" s="100">
        <v>5247.388750000001</v>
      </c>
      <c r="E237" s="101">
        <v>7</v>
      </c>
      <c r="F237" s="102"/>
      <c r="G237" s="102"/>
      <c r="H237" s="103"/>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row>
    <row r="238" spans="1:49">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row>
    <row r="239" spans="1:49">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row>
    <row r="240" spans="1:49">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row>
    <row r="241" spans="1:49">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row>
    <row r="242" spans="1:49">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row>
    <row r="243" spans="1:49">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row>
    <row r="244" spans="1:49">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row>
    <row r="245" spans="1:49">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row>
    <row r="246" spans="1:49">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row>
    <row r="247" spans="1:49">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row>
    <row r="248" spans="1:49">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row>
    <row r="249" spans="1:49">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row>
    <row r="250" spans="1:49">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row>
    <row r="251" spans="1:49">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row>
    <row r="252" spans="1:49">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row>
    <row r="253" spans="1:49">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row>
    <row r="254" spans="1:49">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row>
    <row r="255" spans="1:49">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row>
    <row r="256" spans="1:49">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row>
    <row r="257" spans="1:49">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row>
    <row r="258" spans="1:49">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row>
    <row r="259" spans="1:49">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row>
    <row r="260" spans="1:49">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row>
    <row r="261" spans="1:49">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row>
    <row r="262" spans="1:49">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row>
    <row r="263" spans="1:49">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row>
    <row r="264" spans="1:49">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row>
    <row r="265" spans="1:49">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row>
    <row r="266" spans="1:49">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row>
    <row r="267" spans="1:49">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row>
    <row r="268" spans="1:49">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row>
    <row r="269" spans="1:49">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row>
    <row r="270" spans="1:49">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row>
    <row r="271" spans="1:49">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row>
    <row r="272" spans="1:49">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row>
    <row r="273" spans="1:49">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row>
    <row r="274" spans="1:49">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row>
    <row r="275" spans="1:49">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row>
    <row r="276" spans="1:49">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row>
    <row r="277" spans="1:49">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row>
    <row r="278" spans="1:49">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row>
    <row r="279" spans="1:49">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row>
    <row r="280" spans="1:49">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row>
    <row r="281" spans="1:49">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row>
    <row r="282" spans="1:49">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row>
    <row r="283" spans="1:49">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row>
    <row r="284" spans="1:49">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row>
    <row r="285" spans="1:49">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row>
    <row r="286" spans="1:49">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row>
    <row r="287" spans="1:49">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row>
    <row r="288" spans="1:49">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row>
    <row r="289" spans="1:49">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row>
    <row r="290" spans="1:49">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row>
    <row r="291" spans="1:49">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row>
    <row r="292" spans="1:49">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row>
    <row r="293" spans="1:49">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row>
    <row r="294" spans="1:49">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row>
    <row r="295" spans="1:49">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row>
    <row r="296" spans="1:49">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row>
    <row r="297" spans="1:49">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row>
    <row r="298" spans="1:49">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row>
    <row r="299" spans="1:49">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row>
    <row r="300" spans="1:49">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row>
    <row r="301" spans="1:49">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row>
    <row r="302" spans="1:49">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row>
    <row r="303" spans="1:49">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row>
    <row r="304" spans="1:49">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row>
    <row r="305" spans="1:49">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row>
    <row r="306" spans="1:49">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row>
    <row r="307" spans="1:49">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row>
    <row r="308" spans="1:49">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row>
    <row r="309" spans="1:49">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row>
    <row r="310" spans="1:49">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row>
    <row r="311" spans="1:49">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row>
    <row r="312" spans="1:49">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row>
    <row r="313" spans="1:49">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row>
    <row r="314" spans="1:49">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row>
    <row r="315" spans="1:49">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row>
    <row r="316" spans="1:49">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row>
    <row r="317" spans="1:49">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row>
    <row r="318" spans="1:49">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row>
    <row r="319" spans="1:49">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row>
    <row r="320" spans="1:49">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row>
    <row r="321" spans="1:49">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row>
    <row r="322" spans="1:49">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row>
    <row r="323" spans="1:49">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row>
    <row r="324" spans="1:49">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row>
    <row r="325" spans="1:49">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row>
    <row r="326" spans="1:49">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row>
    <row r="327" spans="1:49">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row>
    <row r="328" spans="1:49">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row>
    <row r="329" spans="1:49">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row>
    <row r="330" spans="1:49">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row>
    <row r="331" spans="1:49">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row>
    <row r="332" spans="1:49">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row>
    <row r="333" spans="1:49">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row>
    <row r="334" spans="1:49">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row>
    <row r="335" spans="1:49">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row>
    <row r="336" spans="1:49">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row>
    <row r="337" spans="1:49">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row>
    <row r="338" spans="1:49">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row>
    <row r="339" spans="1:49">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row>
    <row r="340" spans="1:49">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row>
    <row r="341" spans="1:49">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row>
    <row r="342" spans="1:49">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row>
    <row r="343" spans="1:49">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row>
    <row r="344" spans="1:49">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row>
    <row r="345" spans="1:49">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row>
    <row r="346" spans="1:49">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row>
    <row r="347" spans="1:49">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row>
    <row r="348" spans="1:49">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row>
    <row r="349" spans="1:49">
      <c r="A349" s="1"/>
      <c r="B349" s="1"/>
      <c r="C349" s="1"/>
      <c r="D349" s="1"/>
      <c r="E349" s="1"/>
      <c r="F349" s="1"/>
      <c r="G349" s="1"/>
      <c r="H349" s="1"/>
      <c r="I349" s="1"/>
      <c r="J349" s="1"/>
      <c r="K349" s="1"/>
      <c r="L349" s="1"/>
      <c r="M349" s="1"/>
      <c r="N349" s="1"/>
      <c r="O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row>
  </sheetData>
  <mergeCells count="195">
    <mergeCell ref="AF6:AF7"/>
    <mergeCell ref="AG6:AG7"/>
    <mergeCell ref="AH6:AH7"/>
    <mergeCell ref="Z8:Z9"/>
    <mergeCell ref="Z10:Z11"/>
    <mergeCell ref="Z17:Z18"/>
    <mergeCell ref="Z19:Z20"/>
    <mergeCell ref="Z4:AH4"/>
    <mergeCell ref="Z5:AA7"/>
    <mergeCell ref="AB5:AC5"/>
    <mergeCell ref="AD5:AH5"/>
    <mergeCell ref="AB6:AB7"/>
    <mergeCell ref="AC6:AC7"/>
    <mergeCell ref="AD6:AD7"/>
    <mergeCell ref="AE6:AE7"/>
    <mergeCell ref="AD15:AD16"/>
    <mergeCell ref="AE15:AE16"/>
    <mergeCell ref="AF15:AF16"/>
    <mergeCell ref="AG15:AG16"/>
    <mergeCell ref="AH15:AH16"/>
    <mergeCell ref="P154:P155"/>
    <mergeCell ref="P156:P157"/>
    <mergeCell ref="P158:P159"/>
    <mergeCell ref="P160:P161"/>
    <mergeCell ref="Z13:AH13"/>
    <mergeCell ref="Z14:AA16"/>
    <mergeCell ref="AB14:AC14"/>
    <mergeCell ref="AD14:AH14"/>
    <mergeCell ref="AB15:AB16"/>
    <mergeCell ref="AC15:AC16"/>
    <mergeCell ref="P142:P143"/>
    <mergeCell ref="P144:P145"/>
    <mergeCell ref="P146:P147"/>
    <mergeCell ref="P148:P149"/>
    <mergeCell ref="P150:P151"/>
    <mergeCell ref="P152:P153"/>
    <mergeCell ref="P130:P131"/>
    <mergeCell ref="P132:P133"/>
    <mergeCell ref="P134:P135"/>
    <mergeCell ref="P136:P137"/>
    <mergeCell ref="P138:P139"/>
    <mergeCell ref="P140:P141"/>
    <mergeCell ref="P118:P119"/>
    <mergeCell ref="P120:P121"/>
    <mergeCell ref="P122:P123"/>
    <mergeCell ref="P124:P125"/>
    <mergeCell ref="P126:P127"/>
    <mergeCell ref="P128:P129"/>
    <mergeCell ref="P106:P107"/>
    <mergeCell ref="P108:P109"/>
    <mergeCell ref="P110:P111"/>
    <mergeCell ref="P112:P113"/>
    <mergeCell ref="P114:P115"/>
    <mergeCell ref="P116:P117"/>
    <mergeCell ref="P94:P95"/>
    <mergeCell ref="P96:P97"/>
    <mergeCell ref="P98:P99"/>
    <mergeCell ref="P100:P101"/>
    <mergeCell ref="P102:P103"/>
    <mergeCell ref="P104:P105"/>
    <mergeCell ref="P82:P83"/>
    <mergeCell ref="P84:P85"/>
    <mergeCell ref="P86:P87"/>
    <mergeCell ref="P88:P89"/>
    <mergeCell ref="P90:P91"/>
    <mergeCell ref="P92:P93"/>
    <mergeCell ref="P70:P71"/>
    <mergeCell ref="P72:P73"/>
    <mergeCell ref="P74:P75"/>
    <mergeCell ref="P76:P77"/>
    <mergeCell ref="P78:P79"/>
    <mergeCell ref="P80:P81"/>
    <mergeCell ref="P58:P59"/>
    <mergeCell ref="P60:P61"/>
    <mergeCell ref="P62:P63"/>
    <mergeCell ref="P64:P65"/>
    <mergeCell ref="P66:P67"/>
    <mergeCell ref="P68:P69"/>
    <mergeCell ref="P46:P47"/>
    <mergeCell ref="P48:P49"/>
    <mergeCell ref="P50:P51"/>
    <mergeCell ref="P52:P53"/>
    <mergeCell ref="P54:P55"/>
    <mergeCell ref="P56:P57"/>
    <mergeCell ref="P34:P35"/>
    <mergeCell ref="P36:P37"/>
    <mergeCell ref="P38:P39"/>
    <mergeCell ref="P40:P41"/>
    <mergeCell ref="P42:P43"/>
    <mergeCell ref="P44:P45"/>
    <mergeCell ref="P22:P23"/>
    <mergeCell ref="P24:P25"/>
    <mergeCell ref="P26:P27"/>
    <mergeCell ref="P28:P29"/>
    <mergeCell ref="P30:P31"/>
    <mergeCell ref="P32:P33"/>
    <mergeCell ref="P10:P11"/>
    <mergeCell ref="P12:P13"/>
    <mergeCell ref="P14:P15"/>
    <mergeCell ref="P16:P17"/>
    <mergeCell ref="P18:P19"/>
    <mergeCell ref="P20:P21"/>
    <mergeCell ref="V4:V5"/>
    <mergeCell ref="W4:W5"/>
    <mergeCell ref="X4:X5"/>
    <mergeCell ref="P6:P7"/>
    <mergeCell ref="P8:P9"/>
    <mergeCell ref="B232:B234"/>
    <mergeCell ref="B235:B237"/>
    <mergeCell ref="P2:X2"/>
    <mergeCell ref="P3:Q5"/>
    <mergeCell ref="R3:S3"/>
    <mergeCell ref="T3:X3"/>
    <mergeCell ref="R4:R5"/>
    <mergeCell ref="S4:S5"/>
    <mergeCell ref="T4:T5"/>
    <mergeCell ref="U4:U5"/>
    <mergeCell ref="B214:B216"/>
    <mergeCell ref="B217:B219"/>
    <mergeCell ref="B220:B222"/>
    <mergeCell ref="B223:B225"/>
    <mergeCell ref="B226:B228"/>
    <mergeCell ref="B229:B231"/>
    <mergeCell ref="B196:B198"/>
    <mergeCell ref="B199:B201"/>
    <mergeCell ref="B202:B204"/>
    <mergeCell ref="B205:B207"/>
    <mergeCell ref="B208:B210"/>
    <mergeCell ref="B211:B213"/>
    <mergeCell ref="B178:B180"/>
    <mergeCell ref="B181:B183"/>
    <mergeCell ref="B184:B186"/>
    <mergeCell ref="B187:B189"/>
    <mergeCell ref="B190:B192"/>
    <mergeCell ref="B193:B195"/>
    <mergeCell ref="B160:B162"/>
    <mergeCell ref="B163:B165"/>
    <mergeCell ref="B166:B168"/>
    <mergeCell ref="B169:B171"/>
    <mergeCell ref="B172:B174"/>
    <mergeCell ref="B175:B177"/>
    <mergeCell ref="B142:B144"/>
    <mergeCell ref="B145:B147"/>
    <mergeCell ref="B148:B150"/>
    <mergeCell ref="B151:B153"/>
    <mergeCell ref="B154:B156"/>
    <mergeCell ref="B157:B159"/>
    <mergeCell ref="B124:B126"/>
    <mergeCell ref="B127:B129"/>
    <mergeCell ref="B130:B132"/>
    <mergeCell ref="B133:B135"/>
    <mergeCell ref="B136:B138"/>
    <mergeCell ref="B139:B141"/>
    <mergeCell ref="B106:B108"/>
    <mergeCell ref="B109:B111"/>
    <mergeCell ref="B112:B114"/>
    <mergeCell ref="B115:B117"/>
    <mergeCell ref="B118:B120"/>
    <mergeCell ref="B121:B123"/>
    <mergeCell ref="B88:B90"/>
    <mergeCell ref="B91:B93"/>
    <mergeCell ref="B94:B96"/>
    <mergeCell ref="B97:B99"/>
    <mergeCell ref="B100:B102"/>
    <mergeCell ref="B103:B105"/>
    <mergeCell ref="B70:B72"/>
    <mergeCell ref="B73:B75"/>
    <mergeCell ref="B76:B78"/>
    <mergeCell ref="B79:B81"/>
    <mergeCell ref="B82:B84"/>
    <mergeCell ref="B85:B87"/>
    <mergeCell ref="B52:B54"/>
    <mergeCell ref="B55:B57"/>
    <mergeCell ref="B58:B60"/>
    <mergeCell ref="B61:B63"/>
    <mergeCell ref="B64:B66"/>
    <mergeCell ref="B67:B69"/>
    <mergeCell ref="B34:B36"/>
    <mergeCell ref="B37:B39"/>
    <mergeCell ref="B40:B42"/>
    <mergeCell ref="B43:B45"/>
    <mergeCell ref="B46:B48"/>
    <mergeCell ref="B49:B51"/>
    <mergeCell ref="B16:B18"/>
    <mergeCell ref="B19:B21"/>
    <mergeCell ref="B22:B24"/>
    <mergeCell ref="B25:B27"/>
    <mergeCell ref="B28:B30"/>
    <mergeCell ref="B31:B33"/>
    <mergeCell ref="B2:H2"/>
    <mergeCell ref="B3:C3"/>
    <mergeCell ref="B4:B6"/>
    <mergeCell ref="B7:B9"/>
    <mergeCell ref="B10:B12"/>
    <mergeCell ref="B13:B15"/>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96611-B560-4310-9660-99BFB66CB9F7}">
  <sheetPr codeName="Sayfa11"/>
  <dimension ref="A1:AI517"/>
  <sheetViews>
    <sheetView workbookViewId="0"/>
  </sheetViews>
  <sheetFormatPr defaultRowHeight="14.4"/>
  <cols>
    <col min="1" max="1" width="18.44140625" bestFit="1" customWidth="1"/>
    <col min="11" max="11" width="4.88671875" bestFit="1" customWidth="1"/>
    <col min="12" max="12" width="4.5546875" bestFit="1" customWidth="1"/>
  </cols>
  <sheetData>
    <row r="1" spans="1:35" ht="26.4" customHeight="1">
      <c r="A1" s="49" t="s">
        <v>215</v>
      </c>
      <c r="B1" s="49" t="s">
        <v>222</v>
      </c>
      <c r="C1" s="49" t="s">
        <v>223</v>
      </c>
      <c r="D1" s="49" t="s">
        <v>221</v>
      </c>
      <c r="E1" s="207" t="s">
        <v>214</v>
      </c>
      <c r="F1" s="208"/>
      <c r="G1" s="208"/>
      <c r="H1" s="208"/>
      <c r="I1" s="208"/>
      <c r="J1" s="208"/>
      <c r="K1" s="208"/>
      <c r="L1" s="208"/>
      <c r="M1" s="208"/>
      <c r="N1" s="208"/>
      <c r="O1" s="208"/>
      <c r="P1" s="208"/>
      <c r="Q1" s="208"/>
      <c r="R1" s="1"/>
      <c r="S1" s="1"/>
      <c r="T1" s="1"/>
      <c r="U1" s="1"/>
      <c r="V1" s="1"/>
      <c r="W1" s="1"/>
      <c r="X1" s="1"/>
      <c r="Y1" s="1"/>
      <c r="Z1" s="1"/>
      <c r="AA1" s="1"/>
      <c r="AB1" s="1"/>
      <c r="AC1" s="1"/>
      <c r="AD1" s="1"/>
      <c r="AE1" s="1"/>
      <c r="AF1" s="1"/>
      <c r="AG1" s="1"/>
      <c r="AH1" s="1"/>
      <c r="AI1" s="1"/>
    </row>
    <row r="2" spans="1:35">
      <c r="A2" s="7" t="s">
        <v>4</v>
      </c>
      <c r="B2" s="7">
        <v>33.221537730342781</v>
      </c>
      <c r="C2" s="7">
        <v>19.182383790423952</v>
      </c>
      <c r="D2" s="7">
        <v>14.03915393991883</v>
      </c>
      <c r="E2" s="208"/>
      <c r="F2" s="208"/>
      <c r="G2" s="208"/>
      <c r="H2" s="208"/>
      <c r="I2" s="208"/>
      <c r="J2" s="208"/>
      <c r="K2" s="208"/>
      <c r="L2" s="208"/>
      <c r="M2" s="208"/>
      <c r="N2" s="208"/>
      <c r="O2" s="208"/>
      <c r="P2" s="208"/>
      <c r="Q2" s="208"/>
      <c r="R2" s="10"/>
      <c r="S2" s="1"/>
      <c r="T2" s="1"/>
      <c r="U2" s="1"/>
      <c r="V2" s="1"/>
      <c r="W2" s="1"/>
      <c r="X2" s="1"/>
      <c r="Y2" s="1"/>
      <c r="Z2" s="1"/>
      <c r="AA2" s="1"/>
      <c r="AB2" s="1"/>
      <c r="AC2" s="1"/>
      <c r="AD2" s="1"/>
      <c r="AE2" s="1"/>
      <c r="AF2" s="1"/>
      <c r="AG2" s="1"/>
      <c r="AH2" s="1"/>
      <c r="AI2" s="1"/>
    </row>
    <row r="3" spans="1:35">
      <c r="A3" s="7" t="s">
        <v>5</v>
      </c>
      <c r="B3" s="7">
        <v>20.277052852485301</v>
      </c>
      <c r="C3" s="7">
        <v>8.8698945776873561</v>
      </c>
      <c r="D3" s="7">
        <v>11.407158274797945</v>
      </c>
      <c r="E3" s="208"/>
      <c r="F3" s="208"/>
      <c r="G3" s="208"/>
      <c r="H3" s="208"/>
      <c r="I3" s="208"/>
      <c r="J3" s="208"/>
      <c r="K3" s="208"/>
      <c r="L3" s="208"/>
      <c r="M3" s="208"/>
      <c r="N3" s="208"/>
      <c r="O3" s="208"/>
      <c r="P3" s="208"/>
      <c r="Q3" s="208"/>
      <c r="R3" s="10"/>
      <c r="S3" s="1"/>
      <c r="T3" s="1"/>
      <c r="U3" s="1"/>
      <c r="V3" s="1"/>
      <c r="W3" s="1"/>
      <c r="X3" s="1"/>
      <c r="Y3" s="1"/>
      <c r="Z3" s="1"/>
      <c r="AA3" s="1"/>
      <c r="AB3" s="1"/>
      <c r="AC3" s="1"/>
      <c r="AD3" s="1"/>
      <c r="AE3" s="1"/>
      <c r="AF3" s="1"/>
      <c r="AG3" s="1"/>
      <c r="AH3" s="1"/>
      <c r="AI3" s="1"/>
    </row>
    <row r="4" spans="1:35" ht="16.2">
      <c r="A4" s="7" t="s">
        <v>212</v>
      </c>
      <c r="B4" s="7">
        <v>30.889146343549925</v>
      </c>
      <c r="C4" s="7">
        <v>16.263911659862131</v>
      </c>
      <c r="D4" s="7">
        <v>14.625234683687793</v>
      </c>
      <c r="E4" s="1"/>
      <c r="F4" s="1"/>
      <c r="G4" s="1"/>
      <c r="H4" s="1"/>
      <c r="I4" s="1"/>
      <c r="J4" s="1"/>
      <c r="K4" s="1"/>
      <c r="L4" s="1"/>
      <c r="M4" s="1"/>
      <c r="N4" s="1"/>
      <c r="O4" s="1"/>
      <c r="P4" s="1"/>
      <c r="Q4" s="1"/>
      <c r="R4" s="10"/>
      <c r="S4" s="1"/>
      <c r="T4" s="1"/>
      <c r="U4" s="1"/>
      <c r="V4" s="1"/>
      <c r="W4" s="1"/>
      <c r="X4" s="1"/>
      <c r="Y4" s="1"/>
      <c r="Z4" s="1"/>
      <c r="AA4" s="1"/>
      <c r="AB4" s="1"/>
      <c r="AC4" s="1"/>
      <c r="AD4" s="1"/>
      <c r="AE4" s="1"/>
      <c r="AF4" s="1"/>
      <c r="AG4" s="1"/>
      <c r="AH4" s="1"/>
      <c r="AI4" s="1"/>
    </row>
    <row r="5" spans="1:35">
      <c r="A5" s="7" t="s">
        <v>7</v>
      </c>
      <c r="B5" s="7">
        <v>31.406064975934743</v>
      </c>
      <c r="C5" s="7">
        <v>14.095729999008103</v>
      </c>
      <c r="D5" s="7">
        <v>17.31033497692664</v>
      </c>
      <c r="E5" s="1"/>
      <c r="F5" s="1"/>
      <c r="G5" s="1"/>
      <c r="H5" s="1"/>
      <c r="I5" s="1"/>
      <c r="J5" s="1"/>
      <c r="K5" s="1"/>
      <c r="L5" s="1"/>
      <c r="M5" s="1"/>
      <c r="N5" s="1"/>
      <c r="O5" s="1"/>
      <c r="P5" s="1"/>
      <c r="Q5" s="1"/>
      <c r="R5" s="10"/>
      <c r="S5" s="1"/>
      <c r="T5" s="1"/>
      <c r="U5" s="1"/>
      <c r="V5" s="1"/>
      <c r="W5" s="1"/>
      <c r="X5" s="1"/>
      <c r="Y5" s="1"/>
      <c r="Z5" s="1"/>
      <c r="AA5" s="1"/>
      <c r="AB5" s="1"/>
      <c r="AC5" s="1"/>
      <c r="AD5" s="1"/>
      <c r="AE5" s="1"/>
      <c r="AF5" s="1"/>
      <c r="AG5" s="1"/>
      <c r="AH5" s="1"/>
      <c r="AI5" s="1"/>
    </row>
    <row r="6" spans="1:35">
      <c r="A6" s="7" t="s">
        <v>8</v>
      </c>
      <c r="B6" s="7">
        <v>38.071850858834175</v>
      </c>
      <c r="C6" s="7">
        <v>22.684209300038631</v>
      </c>
      <c r="D6" s="7">
        <v>15.387641558795544</v>
      </c>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row>
    <row r="7" spans="1:35">
      <c r="A7" s="7" t="s">
        <v>10</v>
      </c>
      <c r="B7" s="7">
        <v>14.456885394163988</v>
      </c>
      <c r="C7" s="7">
        <v>8.2165800202022918</v>
      </c>
      <c r="D7" s="7">
        <v>6.2403053739616965</v>
      </c>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row>
    <row r="8" spans="1:35">
      <c r="A8" s="7" t="s">
        <v>11</v>
      </c>
      <c r="B8" s="7">
        <v>32.275131679347957</v>
      </c>
      <c r="C8" s="7">
        <v>16.865584749187871</v>
      </c>
      <c r="D8" s="7">
        <v>15.409546930160086</v>
      </c>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row>
    <row r="9" spans="1:35">
      <c r="A9" s="7" t="s">
        <v>12</v>
      </c>
      <c r="B9" s="7">
        <v>17.272495020801774</v>
      </c>
      <c r="C9" s="7">
        <v>15.248081698924976</v>
      </c>
      <c r="D9" s="7">
        <v>2.0244133218767981</v>
      </c>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row>
    <row r="10" spans="1:35">
      <c r="A10" s="7" t="s">
        <v>13</v>
      </c>
      <c r="B10" s="7">
        <v>11.553986859739565</v>
      </c>
      <c r="C10" s="7">
        <v>9.0970473385943276</v>
      </c>
      <c r="D10" s="7">
        <v>2.4569395211452374</v>
      </c>
      <c r="E10" s="1"/>
      <c r="F10" s="1"/>
      <c r="G10" s="1"/>
      <c r="H10" s="1"/>
      <c r="I10" s="1"/>
      <c r="J10" s="1"/>
      <c r="K10" s="1" t="s">
        <v>222</v>
      </c>
      <c r="L10" s="1" t="s">
        <v>223</v>
      </c>
      <c r="M10" s="1"/>
      <c r="N10" s="1"/>
      <c r="O10" s="1"/>
      <c r="P10" s="1"/>
      <c r="Q10" s="1"/>
      <c r="R10" s="1"/>
      <c r="S10" s="1"/>
      <c r="T10" s="10"/>
      <c r="U10" s="1"/>
      <c r="V10" s="1"/>
      <c r="W10" s="1"/>
      <c r="X10" s="1"/>
      <c r="Y10" s="1"/>
      <c r="Z10" s="1"/>
      <c r="AA10" s="1"/>
      <c r="AB10" s="1"/>
      <c r="AC10" s="1"/>
      <c r="AD10" s="1"/>
      <c r="AE10" s="1"/>
      <c r="AF10" s="1"/>
      <c r="AG10" s="1"/>
      <c r="AH10" s="1"/>
      <c r="AI10" s="1"/>
    </row>
    <row r="11" spans="1:35">
      <c r="A11" s="7" t="s">
        <v>14</v>
      </c>
      <c r="B11" s="7">
        <v>33.089869009473269</v>
      </c>
      <c r="C11" s="7">
        <v>16.869047527204824</v>
      </c>
      <c r="D11" s="7">
        <v>16.220821482268445</v>
      </c>
      <c r="E11" s="1"/>
      <c r="F11" s="1"/>
      <c r="G11" s="1"/>
      <c r="H11" s="1"/>
      <c r="I11" s="1"/>
      <c r="J11" s="1" t="s">
        <v>33</v>
      </c>
      <c r="K11" s="10">
        <f>VLOOKUP(J11,$A$2:$C$66,2,0)</f>
        <v>12.62349293793889</v>
      </c>
      <c r="L11" s="10">
        <f>VLOOKUP(J11,$A$2:$C$66,3,0)</f>
        <v>10.715732713983654</v>
      </c>
      <c r="M11" s="1"/>
      <c r="N11" s="1"/>
      <c r="O11" s="1"/>
      <c r="P11" s="1"/>
      <c r="Q11" s="1"/>
      <c r="R11" s="1"/>
      <c r="S11" s="1"/>
      <c r="T11" s="10"/>
      <c r="U11" s="1"/>
      <c r="V11" s="1"/>
      <c r="W11" s="1"/>
      <c r="X11" s="1"/>
      <c r="Y11" s="1"/>
      <c r="Z11" s="1"/>
      <c r="AA11" s="1"/>
      <c r="AB11" s="1"/>
      <c r="AC11" s="1"/>
      <c r="AD11" s="1"/>
      <c r="AE11" s="1"/>
      <c r="AF11" s="1"/>
      <c r="AG11" s="1"/>
      <c r="AH11" s="1"/>
      <c r="AI11" s="1"/>
    </row>
    <row r="12" spans="1:35">
      <c r="A12" s="7" t="s">
        <v>15</v>
      </c>
      <c r="B12" s="7">
        <v>22.627626653181231</v>
      </c>
      <c r="C12" s="59">
        <v>12.389413158489413</v>
      </c>
      <c r="D12" s="7">
        <v>10.238213494691818</v>
      </c>
      <c r="E12" s="1"/>
      <c r="F12" s="1"/>
      <c r="G12" s="1"/>
      <c r="H12" s="1"/>
      <c r="I12" s="1"/>
      <c r="J12" s="1"/>
      <c r="K12" s="1"/>
      <c r="L12" s="1"/>
      <c r="M12" s="1"/>
      <c r="N12" s="1"/>
      <c r="O12" s="1"/>
      <c r="P12" s="1"/>
      <c r="Q12" s="1"/>
      <c r="R12" s="1"/>
      <c r="S12" s="1"/>
      <c r="T12" s="10"/>
      <c r="U12" s="1"/>
      <c r="V12" s="1"/>
      <c r="W12" s="1"/>
      <c r="X12" s="1"/>
      <c r="Y12" s="1"/>
      <c r="Z12" s="1"/>
      <c r="AA12" s="1"/>
      <c r="AB12" s="1"/>
      <c r="AC12" s="1"/>
      <c r="AD12" s="1"/>
      <c r="AE12" s="1"/>
      <c r="AF12" s="1"/>
      <c r="AG12" s="1"/>
      <c r="AH12" s="1"/>
      <c r="AI12" s="1"/>
    </row>
    <row r="13" spans="1:35">
      <c r="A13" s="7" t="s">
        <v>16</v>
      </c>
      <c r="B13" s="7">
        <v>23.137460083752178</v>
      </c>
      <c r="C13" s="7">
        <v>23.4251422980687</v>
      </c>
      <c r="D13" s="7">
        <v>-0.28768221431652208</v>
      </c>
      <c r="E13" s="1"/>
      <c r="F13" s="1"/>
      <c r="G13" s="1"/>
      <c r="H13" s="1"/>
      <c r="I13" s="1"/>
      <c r="J13" s="1"/>
      <c r="K13" s="1"/>
      <c r="L13" s="1"/>
      <c r="M13" s="1"/>
      <c r="N13" s="1"/>
      <c r="O13" s="1"/>
      <c r="P13" s="1"/>
      <c r="Q13" s="1"/>
      <c r="R13" s="1"/>
      <c r="S13" s="1"/>
      <c r="T13" s="10"/>
      <c r="U13" s="1"/>
      <c r="V13" s="1"/>
      <c r="W13" s="1"/>
      <c r="X13" s="1"/>
      <c r="Y13" s="1"/>
      <c r="Z13" s="1"/>
      <c r="AA13" s="1"/>
      <c r="AB13" s="1"/>
      <c r="AC13" s="1"/>
      <c r="AD13" s="1"/>
      <c r="AE13" s="1"/>
      <c r="AF13" s="1"/>
      <c r="AG13" s="1"/>
      <c r="AH13" s="1"/>
      <c r="AI13" s="1"/>
    </row>
    <row r="14" spans="1:35">
      <c r="A14" s="7" t="s">
        <v>17</v>
      </c>
      <c r="B14" s="7">
        <v>26.669685834805193</v>
      </c>
      <c r="C14" s="7">
        <v>16.525601835748869</v>
      </c>
      <c r="D14" s="7">
        <v>10.144083999056324</v>
      </c>
      <c r="E14" s="1"/>
      <c r="F14" s="1"/>
      <c r="G14" s="1"/>
      <c r="H14" s="1"/>
      <c r="I14" s="1"/>
      <c r="J14" s="1"/>
      <c r="K14" s="1"/>
      <c r="L14" s="1"/>
      <c r="M14" s="1"/>
      <c r="N14" s="1"/>
      <c r="O14" s="1"/>
      <c r="P14" s="1"/>
      <c r="Q14" s="1"/>
      <c r="R14" s="1"/>
      <c r="S14" s="1"/>
      <c r="T14" s="10"/>
      <c r="U14" s="1"/>
      <c r="V14" s="1"/>
      <c r="W14" s="1"/>
      <c r="X14" s="1"/>
      <c r="Y14" s="1"/>
      <c r="Z14" s="1"/>
      <c r="AA14" s="1"/>
      <c r="AB14" s="1"/>
      <c r="AC14" s="1"/>
      <c r="AD14" s="1"/>
      <c r="AE14" s="1"/>
      <c r="AF14" s="1"/>
      <c r="AG14" s="1"/>
      <c r="AH14" s="1"/>
      <c r="AI14" s="1"/>
    </row>
    <row r="15" spans="1:35">
      <c r="A15" s="7" t="s">
        <v>18</v>
      </c>
      <c r="B15" s="7">
        <v>21.094439993635834</v>
      </c>
      <c r="C15" s="7">
        <v>14.098672621308564</v>
      </c>
      <c r="D15" s="7">
        <v>6.9957673723272702</v>
      </c>
      <c r="E15" s="1"/>
      <c r="F15" s="1"/>
      <c r="G15" s="1"/>
      <c r="H15" s="1"/>
      <c r="I15" s="1"/>
      <c r="J15" s="1"/>
      <c r="K15" s="1"/>
      <c r="L15" s="1"/>
      <c r="M15" s="1"/>
      <c r="N15" s="1"/>
      <c r="O15" s="1"/>
      <c r="P15" s="1"/>
      <c r="Q15" s="1"/>
      <c r="R15" s="1"/>
      <c r="S15" s="1"/>
      <c r="T15" s="10"/>
      <c r="U15" s="1"/>
      <c r="V15" s="1"/>
      <c r="W15" s="1"/>
      <c r="X15" s="1"/>
      <c r="Y15" s="1"/>
      <c r="Z15" s="1"/>
      <c r="AA15" s="1"/>
      <c r="AB15" s="1"/>
      <c r="AC15" s="1"/>
      <c r="AD15" s="1"/>
      <c r="AE15" s="1"/>
      <c r="AF15" s="1"/>
      <c r="AG15" s="1"/>
      <c r="AH15" s="1"/>
      <c r="AI15" s="1"/>
    </row>
    <row r="16" spans="1:35">
      <c r="A16" s="7" t="s">
        <v>19</v>
      </c>
      <c r="B16" s="7">
        <v>29.583279400299524</v>
      </c>
      <c r="C16" s="7">
        <v>16.6803845137437</v>
      </c>
      <c r="D16" s="7">
        <v>12.902894886555824</v>
      </c>
      <c r="E16" s="1"/>
      <c r="F16" s="1"/>
      <c r="G16" s="1"/>
      <c r="H16" s="1"/>
      <c r="I16" s="1"/>
      <c r="J16" s="1"/>
      <c r="K16" s="1"/>
      <c r="L16" s="1"/>
      <c r="M16" s="1"/>
      <c r="N16" s="1"/>
      <c r="O16" s="1"/>
      <c r="P16" s="1"/>
      <c r="Q16" s="1"/>
      <c r="R16" s="1"/>
      <c r="S16" s="1"/>
      <c r="T16" s="10"/>
      <c r="U16" s="1"/>
      <c r="V16" s="1"/>
      <c r="W16" s="1"/>
      <c r="X16" s="1"/>
      <c r="Y16" s="1"/>
      <c r="Z16" s="1"/>
      <c r="AA16" s="1"/>
      <c r="AB16" s="1"/>
      <c r="AC16" s="1"/>
      <c r="AD16" s="1"/>
      <c r="AE16" s="1"/>
      <c r="AF16" s="1"/>
      <c r="AG16" s="1"/>
      <c r="AH16" s="1"/>
      <c r="AI16" s="1"/>
    </row>
    <row r="17" spans="1:35">
      <c r="A17" s="7" t="s">
        <v>20</v>
      </c>
      <c r="B17" s="7">
        <v>23.561200498753223</v>
      </c>
      <c r="C17" s="7">
        <v>16.227183220795453</v>
      </c>
      <c r="D17" s="7">
        <v>7.3340172779577699</v>
      </c>
      <c r="E17" s="1"/>
      <c r="F17" s="1"/>
      <c r="G17" s="1"/>
      <c r="H17" s="1"/>
      <c r="I17" s="1"/>
      <c r="J17" s="1"/>
      <c r="K17" s="1"/>
      <c r="L17" s="1"/>
      <c r="M17" s="1"/>
      <c r="N17" s="1"/>
      <c r="O17" s="1"/>
      <c r="P17" s="1"/>
      <c r="Q17" s="1"/>
      <c r="R17" s="1"/>
      <c r="S17" s="1"/>
      <c r="T17" s="10"/>
      <c r="U17" s="1"/>
      <c r="V17" s="1"/>
      <c r="W17" s="1"/>
      <c r="X17" s="1"/>
      <c r="Y17" s="1"/>
      <c r="Z17" s="1"/>
      <c r="AA17" s="1"/>
      <c r="AB17" s="1"/>
      <c r="AC17" s="1"/>
      <c r="AD17" s="1"/>
      <c r="AE17" s="1"/>
      <c r="AF17" s="1"/>
      <c r="AG17" s="1"/>
      <c r="AH17" s="1"/>
      <c r="AI17" s="1"/>
    </row>
    <row r="18" spans="1:35">
      <c r="A18" s="7" t="s">
        <v>21</v>
      </c>
      <c r="B18" s="7">
        <v>26.038185946695563</v>
      </c>
      <c r="C18" s="7">
        <v>12.471779174354538</v>
      </c>
      <c r="D18" s="7">
        <v>13.566406772341026</v>
      </c>
      <c r="E18" s="1"/>
      <c r="F18" s="1"/>
      <c r="G18" s="1"/>
      <c r="H18" s="1"/>
      <c r="I18" s="1"/>
      <c r="J18" s="1"/>
      <c r="K18" s="1"/>
      <c r="L18" s="1"/>
      <c r="M18" s="1"/>
      <c r="N18" s="1"/>
      <c r="O18" s="1"/>
      <c r="P18" s="1"/>
      <c r="Q18" s="1"/>
      <c r="R18" s="1"/>
      <c r="S18" s="1"/>
      <c r="T18" s="10"/>
      <c r="U18" s="1"/>
      <c r="V18" s="1"/>
      <c r="W18" s="1"/>
      <c r="X18" s="1"/>
      <c r="Y18" s="1"/>
      <c r="Z18" s="1"/>
      <c r="AA18" s="1"/>
      <c r="AB18" s="1"/>
      <c r="AC18" s="1"/>
      <c r="AD18" s="1"/>
      <c r="AE18" s="1"/>
      <c r="AF18" s="1"/>
      <c r="AG18" s="1"/>
      <c r="AH18" s="1"/>
      <c r="AI18" s="1"/>
    </row>
    <row r="19" spans="1:35">
      <c r="A19" s="7" t="s">
        <v>22</v>
      </c>
      <c r="B19" s="7">
        <v>7.4561592189419947</v>
      </c>
      <c r="C19" s="7">
        <v>3.4387677614883878</v>
      </c>
      <c r="D19" s="7">
        <v>4.0173914574536074</v>
      </c>
      <c r="E19" s="1"/>
      <c r="F19" s="1"/>
      <c r="G19" s="1"/>
      <c r="H19" s="1"/>
      <c r="I19" s="1"/>
      <c r="J19" s="1"/>
      <c r="K19" s="1"/>
      <c r="L19" s="1"/>
      <c r="M19" s="1"/>
      <c r="N19" s="1"/>
      <c r="O19" s="1"/>
      <c r="P19" s="1"/>
      <c r="Q19" s="1"/>
      <c r="R19" s="1"/>
      <c r="S19" s="1"/>
      <c r="T19" s="10"/>
      <c r="U19" s="1"/>
      <c r="V19" s="1"/>
      <c r="W19" s="1"/>
      <c r="X19" s="1"/>
      <c r="Y19" s="1"/>
      <c r="Z19" s="1"/>
      <c r="AA19" s="1"/>
      <c r="AB19" s="1"/>
      <c r="AC19" s="1"/>
      <c r="AD19" s="1"/>
      <c r="AE19" s="1"/>
      <c r="AF19" s="1"/>
      <c r="AG19" s="1"/>
      <c r="AH19" s="1"/>
      <c r="AI19" s="1"/>
    </row>
    <row r="20" spans="1:35">
      <c r="A20" s="7" t="s">
        <v>23</v>
      </c>
      <c r="B20" s="7">
        <v>18.540323540895589</v>
      </c>
      <c r="C20" s="7">
        <v>7.2490962059966781</v>
      </c>
      <c r="D20" s="7">
        <v>11.29122733489891</v>
      </c>
      <c r="E20" s="1"/>
      <c r="F20" s="1"/>
      <c r="G20" s="1"/>
      <c r="H20" s="1"/>
      <c r="I20" s="1"/>
      <c r="J20" s="1"/>
      <c r="K20" s="1"/>
      <c r="L20" s="1"/>
      <c r="M20" s="1"/>
      <c r="N20" s="1"/>
      <c r="O20" s="1"/>
      <c r="P20" s="1"/>
      <c r="Q20" s="1"/>
      <c r="R20" s="1"/>
      <c r="S20" s="1"/>
      <c r="T20" s="10"/>
      <c r="U20" s="1"/>
      <c r="V20" s="1"/>
      <c r="W20" s="1"/>
      <c r="X20" s="1"/>
      <c r="Y20" s="1"/>
      <c r="Z20" s="1"/>
      <c r="AA20" s="1"/>
      <c r="AB20" s="1"/>
      <c r="AC20" s="1"/>
      <c r="AD20" s="1"/>
      <c r="AE20" s="1"/>
      <c r="AF20" s="1"/>
      <c r="AG20" s="1"/>
      <c r="AH20" s="1"/>
      <c r="AI20" s="1"/>
    </row>
    <row r="21" spans="1:35">
      <c r="A21" s="7" t="s">
        <v>24</v>
      </c>
      <c r="B21" s="7">
        <v>20.440400252301529</v>
      </c>
      <c r="C21" s="7">
        <v>12.163346244627933</v>
      </c>
      <c r="D21" s="7">
        <v>8.2770540076735966</v>
      </c>
      <c r="E21" s="1"/>
      <c r="F21" s="1"/>
      <c r="G21" s="1"/>
      <c r="H21" s="1"/>
      <c r="I21" s="1"/>
      <c r="J21" s="1"/>
      <c r="K21" s="1"/>
      <c r="L21" s="1"/>
      <c r="M21" s="1"/>
      <c r="N21" s="1"/>
      <c r="O21" s="1"/>
      <c r="P21" s="1"/>
      <c r="Q21" s="1"/>
      <c r="R21" s="1"/>
      <c r="S21" s="1"/>
      <c r="T21" s="10"/>
      <c r="U21" s="1"/>
      <c r="V21" s="1"/>
      <c r="W21" s="1"/>
      <c r="X21" s="1"/>
      <c r="Y21" s="1"/>
      <c r="Z21" s="1"/>
      <c r="AA21" s="1"/>
      <c r="AB21" s="1"/>
      <c r="AC21" s="1"/>
      <c r="AD21" s="1"/>
      <c r="AE21" s="1"/>
      <c r="AF21" s="1"/>
      <c r="AG21" s="1"/>
      <c r="AH21" s="1"/>
      <c r="AI21" s="1"/>
    </row>
    <row r="22" spans="1:35">
      <c r="A22" s="7" t="s">
        <v>25</v>
      </c>
      <c r="B22" s="7">
        <v>17.90424410936231</v>
      </c>
      <c r="C22" s="7">
        <v>13.491520797418758</v>
      </c>
      <c r="D22" s="7">
        <v>4.4127233119435516</v>
      </c>
      <c r="E22" s="1"/>
      <c r="F22" s="1"/>
      <c r="G22" s="1"/>
      <c r="H22" s="1"/>
      <c r="I22" s="1"/>
      <c r="J22" s="1"/>
      <c r="K22" s="1"/>
      <c r="L22" s="1"/>
      <c r="M22" s="1"/>
      <c r="N22" s="1"/>
      <c r="O22" s="1"/>
      <c r="P22" s="1"/>
      <c r="Q22" s="1"/>
      <c r="R22" s="1"/>
      <c r="S22" s="1"/>
      <c r="T22" s="10"/>
      <c r="U22" s="1"/>
      <c r="V22" s="1"/>
      <c r="W22" s="1"/>
      <c r="X22" s="1"/>
      <c r="Y22" s="1"/>
      <c r="Z22" s="1"/>
      <c r="AA22" s="1"/>
      <c r="AB22" s="1"/>
      <c r="AC22" s="1"/>
      <c r="AD22" s="1"/>
      <c r="AE22" s="1"/>
      <c r="AF22" s="1"/>
      <c r="AG22" s="1"/>
      <c r="AH22" s="1"/>
      <c r="AI22" s="1"/>
    </row>
    <row r="23" spans="1:35">
      <c r="A23" s="7" t="s">
        <v>26</v>
      </c>
      <c r="B23" s="7">
        <v>25.044968906218372</v>
      </c>
      <c r="C23" s="7">
        <v>14.572429855327957</v>
      </c>
      <c r="D23" s="7">
        <v>10.472539050890415</v>
      </c>
      <c r="E23" s="1"/>
      <c r="F23" s="1"/>
      <c r="G23" s="1"/>
      <c r="H23" s="1"/>
      <c r="I23" s="1"/>
      <c r="J23" s="1"/>
      <c r="K23" s="1"/>
      <c r="L23" s="1"/>
      <c r="M23" s="1"/>
      <c r="N23" s="1"/>
      <c r="O23" s="1"/>
      <c r="P23" s="1"/>
      <c r="Q23" s="1"/>
      <c r="R23" s="1"/>
      <c r="S23" s="1"/>
      <c r="T23" s="10"/>
      <c r="U23" s="1"/>
      <c r="V23" s="1"/>
      <c r="W23" s="1"/>
      <c r="X23" s="1"/>
      <c r="Y23" s="1"/>
      <c r="Z23" s="1"/>
      <c r="AA23" s="1"/>
      <c r="AB23" s="1"/>
      <c r="AC23" s="1"/>
      <c r="AD23" s="1"/>
      <c r="AE23" s="1"/>
      <c r="AF23" s="1"/>
      <c r="AG23" s="1"/>
      <c r="AH23" s="1"/>
      <c r="AI23" s="1"/>
    </row>
    <row r="24" spans="1:35">
      <c r="A24" s="7" t="s">
        <v>110</v>
      </c>
      <c r="B24" s="7">
        <v>18.963675658117605</v>
      </c>
      <c r="C24" s="7">
        <v>8.2343901181985082</v>
      </c>
      <c r="D24" s="7">
        <v>10.729285539919097</v>
      </c>
      <c r="E24" s="1"/>
      <c r="F24" s="1"/>
      <c r="G24" s="1"/>
      <c r="H24" s="1"/>
      <c r="I24" s="1"/>
      <c r="J24" s="1"/>
      <c r="K24" s="1"/>
      <c r="L24" s="1"/>
      <c r="M24" s="1"/>
      <c r="N24" s="1"/>
      <c r="O24" s="1"/>
      <c r="P24" s="1"/>
      <c r="Q24" s="1"/>
      <c r="R24" s="1"/>
      <c r="S24" s="1"/>
      <c r="T24" s="10"/>
      <c r="U24" s="1"/>
      <c r="V24" s="1"/>
      <c r="W24" s="1"/>
      <c r="X24" s="1"/>
      <c r="Y24" s="1"/>
      <c r="Z24" s="1"/>
      <c r="AA24" s="1"/>
      <c r="AB24" s="1"/>
      <c r="AC24" s="1"/>
      <c r="AD24" s="1"/>
      <c r="AE24" s="1"/>
      <c r="AF24" s="1"/>
      <c r="AG24" s="1"/>
      <c r="AH24" s="1"/>
      <c r="AI24" s="1"/>
    </row>
    <row r="25" spans="1:35">
      <c r="A25" s="7" t="s">
        <v>29</v>
      </c>
      <c r="B25" s="7">
        <v>26.41388159038873</v>
      </c>
      <c r="C25" s="7">
        <v>14.320304979998017</v>
      </c>
      <c r="D25" s="7">
        <v>12.093576610390713</v>
      </c>
      <c r="E25" s="1"/>
      <c r="F25" s="1"/>
      <c r="G25" s="1"/>
      <c r="H25" s="1"/>
      <c r="I25" s="1"/>
      <c r="J25" s="1"/>
      <c r="K25" s="1"/>
      <c r="L25" s="1"/>
      <c r="M25" s="1"/>
      <c r="N25" s="1"/>
      <c r="O25" s="1"/>
      <c r="P25" s="1"/>
      <c r="Q25" s="1"/>
      <c r="R25" s="1"/>
      <c r="S25" s="1"/>
      <c r="T25" s="10"/>
      <c r="U25" s="1"/>
      <c r="V25" s="1"/>
      <c r="W25" s="1"/>
      <c r="X25" s="1"/>
      <c r="Y25" s="1"/>
      <c r="Z25" s="1"/>
      <c r="AA25" s="1"/>
      <c r="AB25" s="1"/>
      <c r="AC25" s="1"/>
      <c r="AD25" s="1"/>
      <c r="AE25" s="1"/>
      <c r="AF25" s="1"/>
      <c r="AG25" s="1"/>
      <c r="AH25" s="1"/>
      <c r="AI25" s="1"/>
    </row>
    <row r="26" spans="1:35">
      <c r="A26" s="7" t="s">
        <v>30</v>
      </c>
      <c r="B26" s="7">
        <v>32.685145542028081</v>
      </c>
      <c r="C26" s="7">
        <v>11.637873435613757</v>
      </c>
      <c r="D26" s="7">
        <v>21.047272106414326</v>
      </c>
      <c r="E26" s="1"/>
      <c r="F26" s="1"/>
      <c r="G26" s="1"/>
      <c r="H26" s="1"/>
      <c r="I26" s="1"/>
      <c r="J26" s="1"/>
      <c r="K26" s="1"/>
      <c r="L26" s="1"/>
      <c r="M26" s="1"/>
      <c r="N26" s="1"/>
      <c r="O26" s="1"/>
      <c r="P26" s="1"/>
      <c r="Q26" s="1"/>
      <c r="R26" s="1"/>
      <c r="S26" s="1"/>
      <c r="T26" s="10"/>
      <c r="U26" s="1"/>
      <c r="V26" s="1"/>
      <c r="W26" s="1"/>
      <c r="X26" s="1"/>
      <c r="Y26" s="1"/>
      <c r="Z26" s="1"/>
      <c r="AA26" s="1"/>
      <c r="AB26" s="1"/>
      <c r="AC26" s="1"/>
      <c r="AD26" s="1"/>
      <c r="AE26" s="1"/>
      <c r="AF26" s="1"/>
      <c r="AG26" s="1"/>
      <c r="AH26" s="1"/>
      <c r="AI26" s="1"/>
    </row>
    <row r="27" spans="1:35">
      <c r="A27" s="7" t="s">
        <v>31</v>
      </c>
      <c r="B27" s="7">
        <v>14.039905128635986</v>
      </c>
      <c r="C27" s="7">
        <v>11.893372086210364</v>
      </c>
      <c r="D27" s="7">
        <v>2.1465330424256219</v>
      </c>
      <c r="E27" s="1"/>
      <c r="F27" s="1"/>
      <c r="G27" s="1"/>
      <c r="H27" s="1"/>
      <c r="I27" s="1"/>
      <c r="J27" s="1"/>
      <c r="K27" s="1"/>
      <c r="L27" s="1"/>
      <c r="M27" s="1"/>
      <c r="N27" s="1"/>
      <c r="O27" s="1"/>
      <c r="P27" s="1"/>
      <c r="Q27" s="1"/>
      <c r="R27" s="1"/>
      <c r="S27" s="1"/>
      <c r="T27" s="10"/>
      <c r="U27" s="1"/>
      <c r="V27" s="1"/>
      <c r="W27" s="1"/>
      <c r="X27" s="1"/>
      <c r="Y27" s="1"/>
      <c r="Z27" s="1"/>
      <c r="AA27" s="1"/>
      <c r="AB27" s="1"/>
      <c r="AC27" s="1"/>
      <c r="AD27" s="1"/>
      <c r="AE27" s="1"/>
      <c r="AF27" s="1"/>
      <c r="AG27" s="1"/>
      <c r="AH27" s="1"/>
      <c r="AI27" s="1"/>
    </row>
    <row r="28" spans="1:35">
      <c r="A28" s="7" t="s">
        <v>111</v>
      </c>
      <c r="B28" s="7">
        <v>47.896069453372661</v>
      </c>
      <c r="C28" s="7">
        <v>15.066067774406452</v>
      </c>
      <c r="D28" s="7">
        <v>32.830001678966212</v>
      </c>
      <c r="E28" s="1"/>
      <c r="F28" s="1"/>
      <c r="G28" s="1"/>
      <c r="H28" s="1"/>
      <c r="I28" s="1"/>
      <c r="J28" s="1"/>
      <c r="K28" s="1"/>
      <c r="L28" s="1"/>
      <c r="M28" s="1"/>
      <c r="N28" s="1"/>
      <c r="O28" s="1"/>
      <c r="P28" s="1"/>
      <c r="Q28" s="1"/>
      <c r="R28" s="1"/>
      <c r="S28" s="1"/>
      <c r="T28" s="10"/>
      <c r="U28" s="1"/>
      <c r="V28" s="1"/>
      <c r="W28" s="1"/>
      <c r="X28" s="1"/>
      <c r="Y28" s="1"/>
      <c r="Z28" s="1"/>
      <c r="AA28" s="1"/>
      <c r="AB28" s="1"/>
      <c r="AC28" s="1"/>
      <c r="AD28" s="1"/>
      <c r="AE28" s="1"/>
      <c r="AF28" s="1"/>
      <c r="AG28" s="1"/>
      <c r="AH28" s="1"/>
      <c r="AI28" s="1"/>
    </row>
    <row r="29" spans="1:35">
      <c r="A29" s="7" t="s">
        <v>33</v>
      </c>
      <c r="B29" s="7">
        <v>12.62349293793889</v>
      </c>
      <c r="C29" s="7">
        <v>10.715732713983654</v>
      </c>
      <c r="D29" s="7">
        <v>1.9077602239552363</v>
      </c>
      <c r="E29" s="1"/>
      <c r="F29" s="1"/>
      <c r="G29" s="1"/>
      <c r="H29" s="1"/>
      <c r="I29" s="1"/>
      <c r="J29" s="1"/>
      <c r="K29" s="1"/>
      <c r="L29" s="1"/>
      <c r="M29" s="1"/>
      <c r="N29" s="1"/>
      <c r="O29" s="1"/>
      <c r="P29" s="1"/>
      <c r="Q29" s="1"/>
      <c r="R29" s="1"/>
      <c r="S29" s="1"/>
      <c r="T29" s="10"/>
      <c r="U29" s="1"/>
      <c r="V29" s="1"/>
      <c r="W29" s="1"/>
      <c r="X29" s="1"/>
      <c r="Y29" s="1"/>
      <c r="Z29" s="1"/>
      <c r="AA29" s="1"/>
      <c r="AB29" s="1"/>
      <c r="AC29" s="1"/>
      <c r="AD29" s="1"/>
      <c r="AE29" s="1"/>
      <c r="AF29" s="1"/>
      <c r="AG29" s="1"/>
      <c r="AH29" s="1"/>
      <c r="AI29" s="1"/>
    </row>
    <row r="30" spans="1:35">
      <c r="A30" s="7" t="s">
        <v>34</v>
      </c>
      <c r="B30" s="7">
        <v>22.805603641146988</v>
      </c>
      <c r="C30" s="7">
        <v>14.516915508165491</v>
      </c>
      <c r="D30" s="7">
        <v>8.2886881329814965</v>
      </c>
      <c r="E30" s="1"/>
      <c r="F30" s="1"/>
      <c r="G30" s="1"/>
      <c r="H30" s="1"/>
      <c r="I30" s="1"/>
      <c r="J30" s="1"/>
      <c r="K30" s="1"/>
      <c r="L30" s="1"/>
      <c r="M30" s="1"/>
      <c r="N30" s="1"/>
      <c r="O30" s="1"/>
      <c r="P30" s="1"/>
      <c r="Q30" s="1"/>
      <c r="R30" s="1"/>
      <c r="S30" s="1"/>
      <c r="T30" s="10"/>
      <c r="U30" s="1"/>
      <c r="V30" s="1"/>
      <c r="W30" s="1"/>
      <c r="X30" s="1"/>
      <c r="Y30" s="1"/>
      <c r="Z30" s="1"/>
      <c r="AA30" s="1"/>
      <c r="AB30" s="1"/>
      <c r="AC30" s="1"/>
      <c r="AD30" s="1"/>
      <c r="AE30" s="1"/>
      <c r="AF30" s="1"/>
      <c r="AG30" s="1"/>
      <c r="AH30" s="1"/>
      <c r="AI30" s="1"/>
    </row>
    <row r="31" spans="1:35">
      <c r="A31" s="7" t="s">
        <v>36</v>
      </c>
      <c r="B31" s="7">
        <v>36.727385241083276</v>
      </c>
      <c r="C31" s="7">
        <v>20.371939655155806</v>
      </c>
      <c r="D31" s="7">
        <v>16.35544558592747</v>
      </c>
      <c r="E31" s="1"/>
      <c r="F31" s="1"/>
      <c r="G31" s="1"/>
      <c r="H31" s="1"/>
      <c r="I31" s="1"/>
      <c r="J31" s="1"/>
      <c r="K31" s="1"/>
      <c r="L31" s="1"/>
      <c r="M31" s="1"/>
      <c r="N31" s="1"/>
      <c r="O31" s="1"/>
      <c r="P31" s="1"/>
      <c r="Q31" s="1"/>
      <c r="R31" s="1"/>
      <c r="S31" s="1"/>
      <c r="T31" s="10"/>
      <c r="U31" s="1"/>
      <c r="V31" s="1"/>
      <c r="W31" s="1"/>
      <c r="X31" s="1"/>
      <c r="Y31" s="1"/>
      <c r="Z31" s="1"/>
      <c r="AA31" s="1"/>
      <c r="AB31" s="1"/>
      <c r="AC31" s="1"/>
      <c r="AD31" s="1"/>
      <c r="AE31" s="1"/>
      <c r="AF31" s="1"/>
      <c r="AG31" s="1"/>
      <c r="AH31" s="1"/>
      <c r="AI31" s="1"/>
    </row>
    <row r="32" spans="1:35">
      <c r="A32" s="7" t="s">
        <v>37</v>
      </c>
      <c r="B32" s="7">
        <v>23.764598379394471</v>
      </c>
      <c r="C32" s="7">
        <v>11.202738020186684</v>
      </c>
      <c r="D32" s="7">
        <v>12.561860359207786</v>
      </c>
      <c r="E32" s="1"/>
      <c r="F32" s="1"/>
      <c r="G32" s="1"/>
      <c r="H32" s="1"/>
      <c r="I32" s="1"/>
      <c r="J32" s="1"/>
      <c r="K32" s="1"/>
      <c r="L32" s="1"/>
      <c r="M32" s="1"/>
      <c r="N32" s="1"/>
      <c r="O32" s="1"/>
      <c r="P32" s="1"/>
      <c r="Q32" s="1"/>
      <c r="R32" s="1"/>
      <c r="S32" s="1"/>
      <c r="T32" s="10"/>
      <c r="U32" s="1"/>
      <c r="V32" s="1"/>
      <c r="W32" s="1"/>
      <c r="X32" s="1"/>
      <c r="Y32" s="1"/>
      <c r="Z32" s="1"/>
      <c r="AA32" s="1"/>
      <c r="AB32" s="1"/>
      <c r="AC32" s="1"/>
      <c r="AD32" s="1"/>
      <c r="AE32" s="1"/>
      <c r="AF32" s="1"/>
      <c r="AG32" s="1"/>
      <c r="AH32" s="1"/>
      <c r="AI32" s="1"/>
    </row>
    <row r="33" spans="1:35">
      <c r="A33" s="7" t="s">
        <v>38</v>
      </c>
      <c r="B33" s="7">
        <v>32.701764318153174</v>
      </c>
      <c r="C33" s="7">
        <v>21.687006908567795</v>
      </c>
      <c r="D33" s="7">
        <v>11.014757409585378</v>
      </c>
      <c r="E33" s="1"/>
      <c r="F33" s="1"/>
      <c r="G33" s="1"/>
      <c r="H33" s="1"/>
      <c r="I33" s="1"/>
      <c r="J33" s="1"/>
      <c r="K33" s="1"/>
      <c r="L33" s="1"/>
      <c r="M33" s="1"/>
      <c r="N33" s="1"/>
      <c r="O33" s="1"/>
      <c r="P33" s="1"/>
      <c r="Q33" s="1"/>
      <c r="R33" s="1"/>
      <c r="S33" s="1"/>
      <c r="T33" s="10"/>
      <c r="U33" s="1"/>
      <c r="V33" s="1"/>
      <c r="W33" s="1"/>
      <c r="X33" s="1"/>
      <c r="Y33" s="1"/>
      <c r="Z33" s="1"/>
      <c r="AA33" s="1"/>
      <c r="AB33" s="1"/>
      <c r="AC33" s="1"/>
      <c r="AD33" s="1"/>
      <c r="AE33" s="1"/>
      <c r="AF33" s="1"/>
      <c r="AG33" s="1"/>
      <c r="AH33" s="1"/>
      <c r="AI33" s="1"/>
    </row>
    <row r="34" spans="1:35">
      <c r="A34" s="7" t="s">
        <v>39</v>
      </c>
      <c r="B34" s="7">
        <v>27.686805070216693</v>
      </c>
      <c r="C34" s="7">
        <v>20.043157461575817</v>
      </c>
      <c r="D34" s="7">
        <v>7.643647608640876</v>
      </c>
      <c r="E34" s="1"/>
      <c r="F34" s="1"/>
      <c r="G34" s="1"/>
      <c r="H34" s="1"/>
      <c r="I34" s="1"/>
      <c r="J34" s="1"/>
      <c r="K34" s="1"/>
      <c r="L34" s="1"/>
      <c r="M34" s="1"/>
      <c r="N34" s="1"/>
      <c r="O34" s="1"/>
      <c r="P34" s="1"/>
      <c r="Q34" s="1"/>
      <c r="R34" s="1"/>
      <c r="S34" s="1"/>
      <c r="T34" s="10"/>
      <c r="U34" s="1"/>
      <c r="V34" s="1"/>
      <c r="W34" s="1"/>
      <c r="X34" s="1"/>
      <c r="Y34" s="1"/>
      <c r="Z34" s="1"/>
      <c r="AA34" s="1"/>
      <c r="AB34" s="1"/>
      <c r="AC34" s="1"/>
      <c r="AD34" s="1"/>
      <c r="AE34" s="1"/>
      <c r="AF34" s="1"/>
      <c r="AG34" s="1"/>
      <c r="AH34" s="1"/>
      <c r="AI34" s="1"/>
    </row>
    <row r="35" spans="1:35">
      <c r="A35" s="7" t="s">
        <v>112</v>
      </c>
      <c r="B35" s="7">
        <v>27.77823294216741</v>
      </c>
      <c r="C35" s="7">
        <v>10.422519175648976</v>
      </c>
      <c r="D35" s="7">
        <v>17.355713766518434</v>
      </c>
      <c r="E35" s="1"/>
      <c r="F35" s="1"/>
      <c r="G35" s="1"/>
      <c r="H35" s="1"/>
      <c r="I35" s="1"/>
      <c r="J35" s="1"/>
      <c r="K35" s="1"/>
      <c r="L35" s="1"/>
      <c r="M35" s="1"/>
      <c r="N35" s="1"/>
      <c r="O35" s="1"/>
      <c r="P35" s="1"/>
      <c r="Q35" s="1"/>
      <c r="R35" s="1"/>
      <c r="S35" s="1"/>
      <c r="T35" s="10"/>
      <c r="U35" s="1"/>
      <c r="V35" s="1"/>
      <c r="W35" s="1"/>
      <c r="X35" s="1"/>
      <c r="Y35" s="1"/>
      <c r="Z35" s="1"/>
      <c r="AA35" s="1"/>
      <c r="AB35" s="1"/>
      <c r="AC35" s="1"/>
      <c r="AD35" s="1"/>
      <c r="AE35" s="1"/>
      <c r="AF35" s="1"/>
      <c r="AG35" s="1"/>
      <c r="AH35" s="1"/>
      <c r="AI35" s="1"/>
    </row>
    <row r="36" spans="1:35">
      <c r="A36" s="7" t="s">
        <v>213</v>
      </c>
      <c r="B36" s="7">
        <v>26.00767396126205</v>
      </c>
      <c r="C36" s="7">
        <v>14.276351531900151</v>
      </c>
      <c r="D36" s="7">
        <v>11.731322429361899</v>
      </c>
      <c r="E36" s="1"/>
      <c r="F36" s="1"/>
      <c r="G36" s="1"/>
      <c r="H36" s="1"/>
      <c r="I36" s="1"/>
      <c r="J36" s="1"/>
      <c r="K36" s="1"/>
      <c r="L36" s="1"/>
      <c r="M36" s="1"/>
      <c r="N36" s="1"/>
      <c r="O36" s="1"/>
      <c r="P36" s="1"/>
      <c r="Q36" s="1"/>
      <c r="R36" s="1"/>
      <c r="S36" s="1"/>
      <c r="T36" s="10"/>
      <c r="U36" s="1"/>
      <c r="V36" s="1"/>
      <c r="W36" s="1"/>
      <c r="X36" s="1"/>
      <c r="Y36" s="1"/>
      <c r="Z36" s="1"/>
      <c r="AA36" s="1"/>
      <c r="AB36" s="1"/>
      <c r="AC36" s="1"/>
      <c r="AD36" s="1"/>
      <c r="AE36" s="1"/>
      <c r="AF36" s="1"/>
      <c r="AG36" s="1"/>
      <c r="AH36" s="1"/>
      <c r="AI36" s="1"/>
    </row>
    <row r="37" spans="1:35">
      <c r="A37" s="7" t="s">
        <v>41</v>
      </c>
      <c r="B37" s="7">
        <v>37.821384169055392</v>
      </c>
      <c r="C37" s="7">
        <v>23.175174320992337</v>
      </c>
      <c r="D37" s="7">
        <v>14.646209848063055</v>
      </c>
      <c r="E37" s="1"/>
      <c r="F37" s="1"/>
      <c r="G37" s="1"/>
      <c r="H37" s="1"/>
      <c r="I37" s="1"/>
      <c r="J37" s="1"/>
      <c r="K37" s="1"/>
      <c r="L37" s="1"/>
      <c r="M37" s="1"/>
      <c r="N37" s="1"/>
      <c r="O37" s="1"/>
      <c r="P37" s="1"/>
      <c r="Q37" s="1"/>
      <c r="R37" s="1"/>
      <c r="S37" s="1"/>
      <c r="T37" s="10"/>
      <c r="U37" s="1"/>
      <c r="V37" s="1"/>
      <c r="W37" s="1"/>
      <c r="X37" s="1"/>
      <c r="Y37" s="1"/>
      <c r="Z37" s="1"/>
      <c r="AA37" s="1"/>
      <c r="AB37" s="1"/>
      <c r="AC37" s="1"/>
      <c r="AD37" s="1"/>
      <c r="AE37" s="1"/>
      <c r="AF37" s="1"/>
      <c r="AG37" s="1"/>
      <c r="AH37" s="1"/>
      <c r="AI37" s="1"/>
    </row>
    <row r="38" spans="1:35">
      <c r="A38" s="7" t="s">
        <v>42</v>
      </c>
      <c r="B38" s="7">
        <v>42.221045603318679</v>
      </c>
      <c r="C38" s="7">
        <v>26.978199257701533</v>
      </c>
      <c r="D38" s="7">
        <v>15.242846345617146</v>
      </c>
      <c r="E38" s="1"/>
      <c r="F38" s="1"/>
      <c r="G38" s="1"/>
      <c r="H38" s="1"/>
      <c r="I38" s="1"/>
      <c r="J38" s="1"/>
      <c r="K38" s="1"/>
      <c r="L38" s="1"/>
      <c r="M38" s="1"/>
      <c r="N38" s="1"/>
      <c r="O38" s="1"/>
      <c r="P38" s="1"/>
      <c r="Q38" s="1"/>
      <c r="R38" s="1"/>
      <c r="S38" s="1"/>
      <c r="T38" s="10"/>
      <c r="U38" s="1"/>
      <c r="V38" s="1"/>
      <c r="W38" s="1"/>
      <c r="X38" s="1"/>
      <c r="Y38" s="1"/>
      <c r="Z38" s="1"/>
      <c r="AA38" s="1"/>
      <c r="AB38" s="1"/>
      <c r="AC38" s="1"/>
      <c r="AD38" s="1"/>
      <c r="AE38" s="1"/>
      <c r="AF38" s="1"/>
      <c r="AG38" s="1"/>
      <c r="AH38" s="1"/>
      <c r="AI38" s="1"/>
    </row>
    <row r="39" spans="1:35">
      <c r="A39" s="7" t="s">
        <v>43</v>
      </c>
      <c r="B39" s="7">
        <v>13.380955387360041</v>
      </c>
      <c r="C39" s="7">
        <v>13.157261593118239</v>
      </c>
      <c r="D39" s="7">
        <v>0.22369379424180202</v>
      </c>
      <c r="E39" s="1"/>
      <c r="F39" s="1"/>
      <c r="G39" s="1"/>
      <c r="H39" s="1"/>
      <c r="I39" s="1"/>
      <c r="J39" s="1"/>
      <c r="K39" s="1"/>
      <c r="L39" s="1"/>
      <c r="M39" s="1"/>
      <c r="N39" s="1"/>
      <c r="O39" s="1"/>
      <c r="P39" s="1"/>
      <c r="Q39" s="1"/>
      <c r="R39" s="1"/>
      <c r="S39" s="1"/>
      <c r="T39" s="10"/>
      <c r="U39" s="1"/>
      <c r="V39" s="1"/>
      <c r="W39" s="1"/>
      <c r="X39" s="1"/>
      <c r="Y39" s="1"/>
      <c r="Z39" s="1"/>
      <c r="AA39" s="1"/>
      <c r="AB39" s="1"/>
      <c r="AC39" s="1"/>
      <c r="AD39" s="1"/>
      <c r="AE39" s="1"/>
      <c r="AF39" s="1"/>
      <c r="AG39" s="1"/>
      <c r="AH39" s="1"/>
      <c r="AI39" s="1"/>
    </row>
    <row r="40" spans="1:35">
      <c r="A40" s="7" t="s">
        <v>44</v>
      </c>
      <c r="B40" s="7">
        <v>14.094112831634261</v>
      </c>
      <c r="C40" s="7">
        <v>10.934479432223917</v>
      </c>
      <c r="D40" s="7">
        <v>3.1596333994103443</v>
      </c>
      <c r="E40" s="1"/>
      <c r="F40" s="1"/>
      <c r="G40" s="1"/>
      <c r="H40" s="1"/>
      <c r="I40" s="1"/>
      <c r="J40" s="1"/>
      <c r="K40" s="1"/>
      <c r="L40" s="1"/>
      <c r="M40" s="1"/>
      <c r="N40" s="1"/>
      <c r="O40" s="1"/>
      <c r="P40" s="1"/>
      <c r="Q40" s="1"/>
      <c r="R40" s="1"/>
      <c r="S40" s="1"/>
      <c r="T40" s="10"/>
      <c r="U40" s="1"/>
      <c r="V40" s="1"/>
      <c r="W40" s="1"/>
      <c r="X40" s="1"/>
      <c r="Y40" s="1"/>
      <c r="Z40" s="1"/>
      <c r="AA40" s="1"/>
      <c r="AB40" s="1"/>
      <c r="AC40" s="1"/>
      <c r="AD40" s="1"/>
      <c r="AE40" s="1"/>
      <c r="AF40" s="1"/>
      <c r="AG40" s="1"/>
      <c r="AH40" s="1"/>
      <c r="AI40" s="1"/>
    </row>
    <row r="41" spans="1:35">
      <c r="A41" s="7" t="s">
        <v>46</v>
      </c>
      <c r="B41" s="7">
        <v>34.153426760606848</v>
      </c>
      <c r="C41" s="7">
        <v>20.162640245810579</v>
      </c>
      <c r="D41" s="7">
        <v>13.99078651479627</v>
      </c>
      <c r="E41" s="1"/>
      <c r="F41" s="1"/>
      <c r="G41" s="1"/>
      <c r="H41" s="1"/>
      <c r="I41" s="1"/>
      <c r="J41" s="1"/>
      <c r="K41" s="1"/>
      <c r="L41" s="1"/>
      <c r="M41" s="1"/>
      <c r="N41" s="1"/>
      <c r="O41" s="1"/>
      <c r="P41" s="1"/>
      <c r="Q41" s="1"/>
      <c r="R41" s="1"/>
      <c r="S41" s="1"/>
      <c r="T41" s="10"/>
      <c r="U41" s="1"/>
      <c r="V41" s="1"/>
      <c r="W41" s="1"/>
      <c r="X41" s="1"/>
      <c r="Y41" s="1"/>
      <c r="Z41" s="1"/>
      <c r="AA41" s="1"/>
      <c r="AB41" s="1"/>
      <c r="AC41" s="1"/>
      <c r="AD41" s="1"/>
      <c r="AE41" s="1"/>
      <c r="AF41" s="1"/>
      <c r="AG41" s="1"/>
      <c r="AH41" s="1"/>
      <c r="AI41" s="1"/>
    </row>
    <row r="42" spans="1:35">
      <c r="A42" s="7" t="s">
        <v>47</v>
      </c>
      <c r="B42" s="7">
        <v>36.606645332642913</v>
      </c>
      <c r="C42" s="7">
        <v>18.416433155793523</v>
      </c>
      <c r="D42" s="7">
        <v>18.190212176849389</v>
      </c>
      <c r="E42" s="1"/>
      <c r="F42" s="1"/>
      <c r="G42" s="1"/>
      <c r="H42" s="1"/>
      <c r="I42" s="1"/>
      <c r="J42" s="1"/>
      <c r="K42" s="1"/>
      <c r="L42" s="1"/>
      <c r="M42" s="1"/>
      <c r="N42" s="1"/>
      <c r="O42" s="1"/>
      <c r="P42" s="1"/>
      <c r="Q42" s="1"/>
      <c r="R42" s="1"/>
      <c r="S42" s="1"/>
      <c r="T42" s="10"/>
      <c r="U42" s="1"/>
      <c r="V42" s="1"/>
      <c r="W42" s="1"/>
      <c r="X42" s="1"/>
      <c r="Y42" s="1"/>
      <c r="Z42" s="1"/>
      <c r="AA42" s="1"/>
      <c r="AB42" s="1"/>
      <c r="AC42" s="1"/>
      <c r="AD42" s="1"/>
      <c r="AE42" s="1"/>
      <c r="AF42" s="1"/>
      <c r="AG42" s="1"/>
      <c r="AH42" s="1"/>
      <c r="AI42" s="1"/>
    </row>
    <row r="43" spans="1:35">
      <c r="A43" s="7" t="s">
        <v>48</v>
      </c>
      <c r="B43" s="7">
        <v>15.088931197257052</v>
      </c>
      <c r="C43" s="7">
        <v>9.0996997554275048</v>
      </c>
      <c r="D43" s="7">
        <v>5.9892314418295474</v>
      </c>
      <c r="E43" s="1"/>
      <c r="F43" s="1"/>
      <c r="G43" s="1"/>
      <c r="H43" s="1"/>
      <c r="I43" s="1"/>
      <c r="J43" s="1"/>
      <c r="K43" s="1"/>
      <c r="L43" s="1"/>
      <c r="M43" s="1"/>
      <c r="N43" s="1"/>
      <c r="O43" s="1"/>
      <c r="P43" s="1"/>
      <c r="Q43" s="1"/>
      <c r="R43" s="1"/>
      <c r="S43" s="1"/>
      <c r="T43" s="10"/>
      <c r="U43" s="1"/>
      <c r="V43" s="1"/>
      <c r="W43" s="1"/>
      <c r="X43" s="1"/>
      <c r="Y43" s="1"/>
      <c r="Z43" s="1"/>
      <c r="AA43" s="1"/>
      <c r="AB43" s="1"/>
      <c r="AC43" s="1"/>
      <c r="AD43" s="1"/>
      <c r="AE43" s="1"/>
      <c r="AF43" s="1"/>
      <c r="AG43" s="1"/>
      <c r="AH43" s="1"/>
      <c r="AI43" s="1"/>
    </row>
    <row r="44" spans="1:35">
      <c r="A44" s="7" t="s">
        <v>51</v>
      </c>
      <c r="B44" s="7">
        <v>20.068740797237425</v>
      </c>
      <c r="C44" s="7">
        <v>16.508708582407216</v>
      </c>
      <c r="D44" s="7">
        <v>3.5600322148302084</v>
      </c>
      <c r="E44" s="1"/>
      <c r="F44" s="1"/>
      <c r="G44" s="1"/>
      <c r="H44" s="1"/>
      <c r="I44" s="1"/>
      <c r="J44" s="1"/>
      <c r="K44" s="1"/>
      <c r="L44" s="1"/>
      <c r="M44" s="1"/>
      <c r="N44" s="1"/>
      <c r="O44" s="1"/>
      <c r="P44" s="1"/>
      <c r="Q44" s="1"/>
      <c r="R44" s="1"/>
      <c r="S44" s="1"/>
      <c r="T44" s="10"/>
      <c r="U44" s="1"/>
      <c r="V44" s="1"/>
      <c r="W44" s="1"/>
      <c r="X44" s="1"/>
      <c r="Y44" s="1"/>
      <c r="Z44" s="1"/>
      <c r="AA44" s="1"/>
      <c r="AB44" s="1"/>
      <c r="AC44" s="1"/>
      <c r="AD44" s="1"/>
      <c r="AE44" s="1"/>
      <c r="AF44" s="1"/>
      <c r="AG44" s="1"/>
      <c r="AH44" s="1"/>
      <c r="AI44" s="1"/>
    </row>
    <row r="45" spans="1:35">
      <c r="A45" s="7" t="s">
        <v>52</v>
      </c>
      <c r="B45" s="7">
        <v>26.332706722698603</v>
      </c>
      <c r="C45" s="7">
        <v>21.565515808908966</v>
      </c>
      <c r="D45" s="7">
        <v>4.7671909137896371</v>
      </c>
      <c r="E45" s="1"/>
      <c r="F45" s="1"/>
      <c r="G45" s="1"/>
      <c r="H45" s="1"/>
      <c r="I45" s="1"/>
      <c r="J45" s="1"/>
      <c r="K45" s="1"/>
      <c r="L45" s="1"/>
      <c r="M45" s="1"/>
      <c r="N45" s="1"/>
      <c r="O45" s="1"/>
      <c r="P45" s="1"/>
      <c r="Q45" s="1"/>
      <c r="R45" s="1"/>
      <c r="S45" s="1"/>
      <c r="T45" s="10"/>
      <c r="U45" s="1"/>
      <c r="V45" s="1"/>
      <c r="W45" s="1"/>
      <c r="X45" s="1"/>
      <c r="Y45" s="1"/>
      <c r="Z45" s="1"/>
      <c r="AA45" s="1"/>
      <c r="AB45" s="1"/>
      <c r="AC45" s="1"/>
      <c r="AD45" s="1"/>
      <c r="AE45" s="1"/>
      <c r="AF45" s="1"/>
      <c r="AG45" s="1"/>
      <c r="AH45" s="1"/>
      <c r="AI45" s="1"/>
    </row>
    <row r="46" spans="1:35">
      <c r="A46" s="7" t="s">
        <v>128</v>
      </c>
      <c r="B46" s="7">
        <v>19.742594747912079</v>
      </c>
      <c r="C46" s="7">
        <v>6.4249204550595387</v>
      </c>
      <c r="D46" s="7">
        <v>13.317674292852541</v>
      </c>
      <c r="E46" s="1"/>
      <c r="F46" s="1"/>
      <c r="G46" s="1"/>
      <c r="H46" s="1"/>
      <c r="I46" s="1"/>
      <c r="J46" s="1"/>
      <c r="K46" s="1"/>
      <c r="L46" s="1"/>
      <c r="M46" s="1"/>
      <c r="N46" s="1"/>
      <c r="O46" s="1"/>
      <c r="P46" s="1"/>
      <c r="Q46" s="1"/>
      <c r="R46" s="1"/>
      <c r="S46" s="1"/>
      <c r="T46" s="10"/>
      <c r="U46" s="1"/>
      <c r="V46" s="1"/>
      <c r="W46" s="1"/>
      <c r="X46" s="1"/>
      <c r="Y46" s="1"/>
      <c r="Z46" s="1"/>
      <c r="AA46" s="1"/>
      <c r="AB46" s="1"/>
      <c r="AC46" s="1"/>
      <c r="AD46" s="1"/>
      <c r="AE46" s="1"/>
      <c r="AF46" s="1"/>
      <c r="AG46" s="1"/>
      <c r="AH46" s="1"/>
      <c r="AI46" s="1"/>
    </row>
    <row r="47" spans="1:35">
      <c r="A47" s="7" t="s">
        <v>56</v>
      </c>
      <c r="B47" s="7">
        <v>12.511644407998235</v>
      </c>
      <c r="C47" s="7">
        <v>4.9913306306960896</v>
      </c>
      <c r="D47" s="7">
        <v>7.5203137773021451</v>
      </c>
      <c r="E47" s="1"/>
      <c r="F47" s="1"/>
      <c r="G47" s="1"/>
      <c r="H47" s="1"/>
      <c r="I47" s="1"/>
      <c r="J47" s="1"/>
      <c r="K47" s="1"/>
      <c r="L47" s="1"/>
      <c r="M47" s="1"/>
      <c r="N47" s="1"/>
      <c r="O47" s="1"/>
      <c r="P47" s="1"/>
      <c r="Q47" s="1"/>
      <c r="R47" s="1"/>
      <c r="S47" s="1"/>
      <c r="T47" s="10"/>
      <c r="U47" s="1"/>
      <c r="V47" s="1"/>
      <c r="W47" s="1"/>
      <c r="X47" s="1"/>
      <c r="Y47" s="1"/>
      <c r="Z47" s="1"/>
      <c r="AA47" s="1"/>
      <c r="AB47" s="1"/>
      <c r="AC47" s="1"/>
      <c r="AD47" s="1"/>
      <c r="AE47" s="1"/>
      <c r="AF47" s="1"/>
      <c r="AG47" s="1"/>
      <c r="AH47" s="1"/>
      <c r="AI47" s="1"/>
    </row>
    <row r="48" spans="1:35">
      <c r="A48" s="7" t="s">
        <v>57</v>
      </c>
      <c r="B48" s="7">
        <v>27.13589849732648</v>
      </c>
      <c r="C48" s="7">
        <v>11.108064053621588</v>
      </c>
      <c r="D48" s="7">
        <v>16.02783444370489</v>
      </c>
      <c r="E48" s="1"/>
      <c r="F48" s="1"/>
      <c r="G48" s="1"/>
      <c r="H48" s="1"/>
      <c r="I48" s="1"/>
      <c r="J48" s="1"/>
      <c r="K48" s="1"/>
      <c r="L48" s="1"/>
      <c r="M48" s="1"/>
      <c r="N48" s="1"/>
      <c r="O48" s="1"/>
      <c r="P48" s="1"/>
      <c r="Q48" s="1"/>
      <c r="R48" s="1"/>
      <c r="S48" s="1"/>
      <c r="T48" s="10"/>
      <c r="U48" s="1"/>
      <c r="V48" s="1"/>
      <c r="W48" s="1"/>
      <c r="X48" s="1"/>
      <c r="Y48" s="1"/>
      <c r="Z48" s="1"/>
      <c r="AA48" s="1"/>
      <c r="AB48" s="1"/>
      <c r="AC48" s="1"/>
      <c r="AD48" s="1"/>
      <c r="AE48" s="1"/>
      <c r="AF48" s="1"/>
      <c r="AG48" s="1"/>
      <c r="AH48" s="1"/>
      <c r="AI48" s="1"/>
    </row>
    <row r="49" spans="1:35">
      <c r="A49" s="7" t="s">
        <v>58</v>
      </c>
      <c r="B49" s="7">
        <v>28.344344560925613</v>
      </c>
      <c r="C49" s="7">
        <v>14.239014356352726</v>
      </c>
      <c r="D49" s="7">
        <v>14.105330204572887</v>
      </c>
      <c r="E49" s="1"/>
      <c r="F49" s="1"/>
      <c r="G49" s="1"/>
      <c r="H49" s="1"/>
      <c r="I49" s="1"/>
      <c r="J49" s="1"/>
      <c r="K49" s="1"/>
      <c r="L49" s="1"/>
      <c r="M49" s="1"/>
      <c r="N49" s="1"/>
      <c r="O49" s="1"/>
      <c r="P49" s="1"/>
      <c r="Q49" s="1"/>
      <c r="R49" s="1"/>
      <c r="S49" s="1"/>
      <c r="T49" s="10"/>
      <c r="U49" s="1"/>
      <c r="V49" s="1"/>
      <c r="W49" s="1"/>
      <c r="X49" s="1"/>
      <c r="Y49" s="1"/>
      <c r="Z49" s="1"/>
      <c r="AA49" s="1"/>
      <c r="AB49" s="1"/>
      <c r="AC49" s="1"/>
      <c r="AD49" s="1"/>
      <c r="AE49" s="1"/>
      <c r="AF49" s="1"/>
      <c r="AG49" s="1"/>
      <c r="AH49" s="1"/>
      <c r="AI49" s="1"/>
    </row>
    <row r="50" spans="1:35">
      <c r="A50" s="7" t="s">
        <v>60</v>
      </c>
      <c r="B50" s="7">
        <v>46.633110248232526</v>
      </c>
      <c r="C50" s="7">
        <v>26.655755317606065</v>
      </c>
      <c r="D50" s="7">
        <v>19.977354930626461</v>
      </c>
      <c r="E50" s="1"/>
      <c r="F50" s="1"/>
      <c r="G50" s="1"/>
      <c r="H50" s="1"/>
      <c r="I50" s="1"/>
      <c r="J50" s="1"/>
      <c r="K50" s="1"/>
      <c r="L50" s="1"/>
      <c r="M50" s="1"/>
      <c r="N50" s="1"/>
      <c r="O50" s="1"/>
      <c r="P50" s="1"/>
      <c r="Q50" s="1"/>
      <c r="R50" s="1"/>
      <c r="S50" s="1"/>
      <c r="T50" s="10"/>
      <c r="U50" s="1"/>
      <c r="V50" s="1"/>
      <c r="W50" s="1"/>
      <c r="X50" s="1"/>
      <c r="Y50" s="1"/>
      <c r="Z50" s="1"/>
      <c r="AA50" s="1"/>
      <c r="AB50" s="1"/>
      <c r="AC50" s="1"/>
      <c r="AD50" s="1"/>
      <c r="AE50" s="1"/>
      <c r="AF50" s="1"/>
      <c r="AG50" s="1"/>
      <c r="AH50" s="1"/>
      <c r="AI50" s="1"/>
    </row>
    <row r="51" spans="1:35">
      <c r="A51" s="7" t="s">
        <v>61</v>
      </c>
      <c r="B51" s="7">
        <v>15.104767913421298</v>
      </c>
      <c r="C51" s="7">
        <v>7.6822651283746399</v>
      </c>
      <c r="D51" s="7">
        <v>7.4225027850466585</v>
      </c>
      <c r="E51" s="1"/>
      <c r="F51" s="1"/>
      <c r="G51" s="1"/>
      <c r="H51" s="1"/>
      <c r="I51" s="1"/>
      <c r="J51" s="1"/>
      <c r="K51" s="1"/>
      <c r="L51" s="1"/>
      <c r="M51" s="1"/>
      <c r="N51" s="1"/>
      <c r="O51" s="1"/>
      <c r="P51" s="1"/>
      <c r="Q51" s="1"/>
      <c r="R51" s="1"/>
      <c r="S51" s="1"/>
      <c r="T51" s="10"/>
      <c r="U51" s="1"/>
      <c r="V51" s="1"/>
      <c r="W51" s="1"/>
      <c r="X51" s="1"/>
      <c r="Y51" s="1"/>
      <c r="Z51" s="1"/>
      <c r="AA51" s="1"/>
      <c r="AB51" s="1"/>
      <c r="AC51" s="1"/>
      <c r="AD51" s="1"/>
      <c r="AE51" s="1"/>
      <c r="AF51" s="1"/>
      <c r="AG51" s="1"/>
      <c r="AH51" s="1"/>
      <c r="AI51" s="1"/>
    </row>
    <row r="52" spans="1:35">
      <c r="A52" s="7" t="s">
        <v>62</v>
      </c>
      <c r="B52" s="7">
        <v>38.245043281167611</v>
      </c>
      <c r="C52" s="7">
        <v>14.720525090568078</v>
      </c>
      <c r="D52" s="7">
        <v>23.524518190599533</v>
      </c>
      <c r="E52" s="1"/>
      <c r="F52" s="1"/>
      <c r="G52" s="1"/>
      <c r="H52" s="1"/>
      <c r="I52" s="1"/>
      <c r="J52" s="1"/>
      <c r="K52" s="1"/>
      <c r="L52" s="1"/>
      <c r="M52" s="1"/>
      <c r="N52" s="1"/>
      <c r="O52" s="1"/>
      <c r="P52" s="1"/>
      <c r="Q52" s="1"/>
      <c r="R52" s="1"/>
      <c r="S52" s="1"/>
      <c r="T52" s="10"/>
      <c r="U52" s="1"/>
      <c r="V52" s="1"/>
      <c r="W52" s="1"/>
      <c r="X52" s="1"/>
      <c r="Y52" s="1"/>
      <c r="Z52" s="1"/>
      <c r="AA52" s="1"/>
      <c r="AB52" s="1"/>
      <c r="AC52" s="1"/>
      <c r="AD52" s="1"/>
      <c r="AE52" s="1"/>
      <c r="AF52" s="1"/>
      <c r="AG52" s="1"/>
      <c r="AH52" s="1"/>
      <c r="AI52" s="1"/>
    </row>
    <row r="53" spans="1:35">
      <c r="A53" s="7" t="s">
        <v>63</v>
      </c>
      <c r="B53" s="7">
        <v>26.589509050511765</v>
      </c>
      <c r="C53" s="7">
        <v>14.583882342658237</v>
      </c>
      <c r="D53" s="7">
        <v>12.005626707853528</v>
      </c>
      <c r="E53" s="1"/>
      <c r="F53" s="1"/>
      <c r="G53" s="1"/>
      <c r="H53" s="1"/>
      <c r="I53" s="1"/>
      <c r="J53" s="1"/>
      <c r="K53" s="1"/>
      <c r="L53" s="1"/>
      <c r="M53" s="1"/>
      <c r="N53" s="1"/>
      <c r="O53" s="1"/>
      <c r="P53" s="1"/>
      <c r="Q53" s="1"/>
      <c r="R53" s="1"/>
      <c r="S53" s="1"/>
      <c r="T53" s="10"/>
      <c r="U53" s="1"/>
      <c r="V53" s="1"/>
      <c r="W53" s="1"/>
      <c r="X53" s="1"/>
      <c r="Y53" s="1"/>
      <c r="Z53" s="1"/>
      <c r="AA53" s="1"/>
      <c r="AB53" s="1"/>
      <c r="AC53" s="1"/>
      <c r="AD53" s="1"/>
      <c r="AE53" s="1"/>
      <c r="AF53" s="1"/>
      <c r="AG53" s="1"/>
      <c r="AH53" s="1"/>
      <c r="AI53" s="1"/>
    </row>
    <row r="54" spans="1:35">
      <c r="A54" s="7" t="s">
        <v>64</v>
      </c>
      <c r="B54" s="7">
        <v>6.3356579528290853</v>
      </c>
      <c r="C54" s="7">
        <v>10.967221085944516</v>
      </c>
      <c r="D54" s="7">
        <v>-4.6315631331154306</v>
      </c>
      <c r="E54" s="1"/>
      <c r="F54" s="1"/>
      <c r="G54" s="1"/>
      <c r="H54" s="1"/>
      <c r="I54" s="1"/>
      <c r="J54" s="1"/>
      <c r="K54" s="1"/>
      <c r="L54" s="1"/>
      <c r="M54" s="1"/>
      <c r="N54" s="1"/>
      <c r="O54" s="1"/>
      <c r="P54" s="1"/>
      <c r="Q54" s="1"/>
      <c r="R54" s="1"/>
      <c r="S54" s="1"/>
      <c r="T54" s="10"/>
      <c r="U54" s="1"/>
      <c r="V54" s="1"/>
      <c r="W54" s="1"/>
      <c r="X54" s="1"/>
      <c r="Y54" s="1"/>
      <c r="Z54" s="1"/>
      <c r="AA54" s="1"/>
      <c r="AB54" s="1"/>
      <c r="AC54" s="1"/>
      <c r="AD54" s="1"/>
      <c r="AE54" s="1"/>
      <c r="AF54" s="1"/>
      <c r="AG54" s="1"/>
      <c r="AH54" s="1"/>
      <c r="AI54" s="1"/>
    </row>
    <row r="55" spans="1:35">
      <c r="A55" s="7" t="s">
        <v>65</v>
      </c>
      <c r="B55" s="7">
        <v>9.77254713555525</v>
      </c>
      <c r="C55" s="7">
        <v>17.522909415174372</v>
      </c>
      <c r="D55" s="7">
        <v>-7.7503622796191216</v>
      </c>
      <c r="E55" s="1"/>
      <c r="F55" s="1"/>
      <c r="G55" s="1"/>
      <c r="H55" s="1"/>
      <c r="I55" s="1"/>
      <c r="J55" s="1"/>
      <c r="K55" s="1"/>
      <c r="L55" s="1"/>
      <c r="M55" s="1"/>
      <c r="N55" s="1"/>
      <c r="O55" s="1"/>
      <c r="P55" s="1"/>
      <c r="Q55" s="1"/>
      <c r="R55" s="1"/>
      <c r="S55" s="1"/>
      <c r="T55" s="10"/>
      <c r="U55" s="1"/>
      <c r="V55" s="1"/>
      <c r="W55" s="1"/>
      <c r="X55" s="1"/>
      <c r="Y55" s="1"/>
      <c r="Z55" s="1"/>
      <c r="AA55" s="1"/>
      <c r="AB55" s="1"/>
      <c r="AC55" s="1"/>
      <c r="AD55" s="1"/>
      <c r="AE55" s="1"/>
      <c r="AF55" s="1"/>
      <c r="AG55" s="1"/>
      <c r="AH55" s="1"/>
      <c r="AI55" s="1"/>
    </row>
    <row r="56" spans="1:35">
      <c r="A56" s="7" t="s">
        <v>67</v>
      </c>
      <c r="B56" s="7">
        <v>14.041495076805365</v>
      </c>
      <c r="C56" s="7">
        <v>19.962160311836382</v>
      </c>
      <c r="D56" s="7">
        <v>-5.9206652350310165</v>
      </c>
      <c r="E56" s="1"/>
      <c r="F56" s="1"/>
      <c r="G56" s="1"/>
      <c r="H56" s="1"/>
      <c r="I56" s="1"/>
      <c r="J56" s="1"/>
      <c r="K56" s="1"/>
      <c r="L56" s="1"/>
      <c r="M56" s="1"/>
      <c r="N56" s="1"/>
      <c r="O56" s="1"/>
      <c r="P56" s="1"/>
      <c r="Q56" s="1"/>
      <c r="R56" s="1"/>
      <c r="S56" s="1"/>
      <c r="T56" s="10"/>
      <c r="U56" s="1"/>
      <c r="V56" s="1"/>
      <c r="W56" s="1"/>
      <c r="X56" s="1"/>
      <c r="Y56" s="1"/>
      <c r="Z56" s="1"/>
      <c r="AA56" s="1"/>
      <c r="AB56" s="1"/>
      <c r="AC56" s="1"/>
      <c r="AD56" s="1"/>
      <c r="AE56" s="1"/>
      <c r="AF56" s="1"/>
      <c r="AG56" s="1"/>
      <c r="AH56" s="1"/>
      <c r="AI56" s="1"/>
    </row>
    <row r="57" spans="1:35">
      <c r="A57" s="7" t="s">
        <v>71</v>
      </c>
      <c r="B57" s="7">
        <v>34.934523076943421</v>
      </c>
      <c r="C57" s="7">
        <v>22.325012750654977</v>
      </c>
      <c r="D57" s="7">
        <v>12.609510326288444</v>
      </c>
      <c r="E57" s="1"/>
      <c r="F57" s="1"/>
      <c r="G57" s="1"/>
      <c r="H57" s="1"/>
      <c r="I57" s="1"/>
      <c r="J57" s="1"/>
      <c r="K57" s="1"/>
      <c r="L57" s="1"/>
      <c r="M57" s="1"/>
      <c r="N57" s="1"/>
      <c r="O57" s="1"/>
      <c r="P57" s="1"/>
      <c r="Q57" s="1"/>
      <c r="R57" s="1"/>
      <c r="S57" s="1"/>
      <c r="T57" s="10"/>
      <c r="U57" s="1"/>
      <c r="V57" s="1"/>
      <c r="W57" s="1"/>
      <c r="X57" s="1"/>
      <c r="Y57" s="1"/>
      <c r="Z57" s="1"/>
      <c r="AA57" s="1"/>
      <c r="AB57" s="1"/>
      <c r="AC57" s="1"/>
      <c r="AD57" s="1"/>
      <c r="AE57" s="1"/>
      <c r="AF57" s="1"/>
      <c r="AG57" s="1"/>
      <c r="AH57" s="1"/>
      <c r="AI57" s="1"/>
    </row>
    <row r="58" spans="1:35">
      <c r="A58" s="7" t="s">
        <v>72</v>
      </c>
      <c r="B58" s="7">
        <v>13.43585391718516</v>
      </c>
      <c r="C58" s="7">
        <v>11.442598540626058</v>
      </c>
      <c r="D58" s="7">
        <v>1.9932553765591017</v>
      </c>
      <c r="E58" s="1"/>
      <c r="F58" s="1"/>
      <c r="G58" s="1"/>
      <c r="H58" s="1"/>
      <c r="I58" s="1"/>
      <c r="J58" s="1"/>
      <c r="K58" s="1"/>
      <c r="L58" s="1"/>
      <c r="M58" s="1"/>
      <c r="N58" s="1"/>
      <c r="O58" s="1"/>
      <c r="P58" s="1"/>
      <c r="Q58" s="1"/>
      <c r="R58" s="1"/>
      <c r="S58" s="1"/>
      <c r="T58" s="10"/>
      <c r="U58" s="1"/>
      <c r="V58" s="1"/>
      <c r="W58" s="1"/>
      <c r="X58" s="1"/>
      <c r="Y58" s="1"/>
      <c r="Z58" s="1"/>
      <c r="AA58" s="1"/>
      <c r="AB58" s="1"/>
      <c r="AC58" s="1"/>
      <c r="AD58" s="1"/>
      <c r="AE58" s="1"/>
      <c r="AF58" s="1"/>
      <c r="AG58" s="1"/>
      <c r="AH58" s="1"/>
      <c r="AI58" s="1"/>
    </row>
    <row r="59" spans="1:35">
      <c r="A59" s="7" t="s">
        <v>73</v>
      </c>
      <c r="B59" s="7">
        <v>20.275839703073451</v>
      </c>
      <c r="C59" s="7">
        <v>12.271115616825583</v>
      </c>
      <c r="D59" s="7">
        <v>8.0047240862478688</v>
      </c>
      <c r="E59" s="1"/>
      <c r="F59" s="1"/>
      <c r="G59" s="1"/>
      <c r="H59" s="1"/>
      <c r="I59" s="1"/>
      <c r="J59" s="1"/>
      <c r="K59" s="1"/>
      <c r="L59" s="1"/>
      <c r="M59" s="1"/>
      <c r="N59" s="1"/>
      <c r="O59" s="1"/>
      <c r="P59" s="1"/>
      <c r="Q59" s="1"/>
      <c r="R59" s="1"/>
      <c r="S59" s="1"/>
      <c r="T59" s="10"/>
      <c r="U59" s="1"/>
      <c r="V59" s="1"/>
      <c r="W59" s="1"/>
      <c r="X59" s="1"/>
      <c r="Y59" s="1"/>
      <c r="Z59" s="1"/>
      <c r="AA59" s="1"/>
      <c r="AB59" s="1"/>
      <c r="AC59" s="1"/>
      <c r="AD59" s="1"/>
      <c r="AE59" s="1"/>
      <c r="AF59" s="1"/>
      <c r="AG59" s="1"/>
      <c r="AH59" s="1"/>
      <c r="AI59" s="1"/>
    </row>
    <row r="60" spans="1:35">
      <c r="A60" s="7" t="s">
        <v>75</v>
      </c>
      <c r="B60" s="7">
        <v>14.820348819592134</v>
      </c>
      <c r="C60" s="7">
        <v>16.9404516172138</v>
      </c>
      <c r="D60" s="7">
        <v>-2.1201027976216658</v>
      </c>
      <c r="E60" s="1"/>
      <c r="F60" s="1"/>
      <c r="G60" s="1"/>
      <c r="H60" s="1"/>
      <c r="I60" s="1"/>
      <c r="J60" s="1"/>
      <c r="K60" s="1"/>
      <c r="L60" s="1"/>
      <c r="M60" s="1"/>
      <c r="N60" s="1"/>
      <c r="O60" s="1"/>
      <c r="P60" s="1"/>
      <c r="Q60" s="1"/>
      <c r="R60" s="1"/>
      <c r="S60" s="1"/>
      <c r="T60" s="10"/>
      <c r="U60" s="1"/>
      <c r="V60" s="1"/>
      <c r="W60" s="1"/>
      <c r="X60" s="1"/>
      <c r="Y60" s="1"/>
      <c r="Z60" s="1"/>
      <c r="AA60" s="1"/>
      <c r="AB60" s="1"/>
      <c r="AC60" s="1"/>
      <c r="AD60" s="1"/>
      <c r="AE60" s="1"/>
      <c r="AF60" s="1"/>
      <c r="AG60" s="1"/>
      <c r="AH60" s="1"/>
      <c r="AI60" s="1"/>
    </row>
    <row r="61" spans="1:35">
      <c r="A61" s="7" t="s">
        <v>76</v>
      </c>
      <c r="B61" s="7">
        <v>27.009201609598776</v>
      </c>
      <c r="C61" s="7">
        <v>11.942775935208227</v>
      </c>
      <c r="D61" s="7">
        <v>15.066425674390549</v>
      </c>
      <c r="E61" s="1"/>
      <c r="F61" s="1"/>
      <c r="G61" s="1"/>
      <c r="H61" s="1"/>
      <c r="I61" s="1"/>
      <c r="J61" s="1"/>
      <c r="K61" s="1"/>
      <c r="L61" s="1"/>
      <c r="M61" s="1"/>
      <c r="N61" s="1"/>
      <c r="O61" s="1"/>
      <c r="P61" s="1"/>
      <c r="Q61" s="1"/>
      <c r="R61" s="1"/>
      <c r="S61" s="1"/>
      <c r="T61" s="10"/>
      <c r="U61" s="1"/>
      <c r="V61" s="1"/>
      <c r="W61" s="1"/>
      <c r="X61" s="1"/>
      <c r="Y61" s="1"/>
      <c r="Z61" s="1"/>
      <c r="AA61" s="1"/>
      <c r="AB61" s="1"/>
      <c r="AC61" s="1"/>
      <c r="AD61" s="1"/>
      <c r="AE61" s="1"/>
      <c r="AF61" s="1"/>
      <c r="AG61" s="1"/>
      <c r="AH61" s="1"/>
      <c r="AI61" s="1"/>
    </row>
    <row r="62" spans="1:35">
      <c r="A62" s="7" t="s">
        <v>77</v>
      </c>
      <c r="B62" s="7">
        <v>23.752727864556743</v>
      </c>
      <c r="C62" s="7">
        <v>8.7224479188432689</v>
      </c>
      <c r="D62" s="7">
        <v>15.030279945713474</v>
      </c>
      <c r="E62" s="1"/>
      <c r="F62" s="1"/>
      <c r="G62" s="1"/>
      <c r="H62" s="1"/>
      <c r="I62" s="1"/>
      <c r="J62" s="1"/>
      <c r="K62" s="1"/>
      <c r="L62" s="1"/>
      <c r="M62" s="1"/>
      <c r="N62" s="1"/>
      <c r="O62" s="1"/>
      <c r="P62" s="1"/>
      <c r="Q62" s="1"/>
      <c r="R62" s="1"/>
      <c r="S62" s="1"/>
      <c r="T62" s="10"/>
      <c r="U62" s="1"/>
      <c r="V62" s="1"/>
      <c r="W62" s="1"/>
      <c r="X62" s="1"/>
      <c r="Y62" s="1"/>
      <c r="Z62" s="1"/>
      <c r="AA62" s="1"/>
      <c r="AB62" s="1"/>
      <c r="AC62" s="1"/>
      <c r="AD62" s="1"/>
      <c r="AE62" s="1"/>
      <c r="AF62" s="1"/>
      <c r="AG62" s="1"/>
      <c r="AH62" s="1"/>
      <c r="AI62" s="1"/>
    </row>
    <row r="63" spans="1:35">
      <c r="A63" s="7" t="s">
        <v>78</v>
      </c>
      <c r="B63" s="7">
        <v>19.391059944254668</v>
      </c>
      <c r="C63" s="7">
        <v>14.499240690580208</v>
      </c>
      <c r="D63" s="7">
        <v>4.8918192536744591</v>
      </c>
      <c r="E63" s="1"/>
      <c r="F63" s="1"/>
      <c r="G63" s="1"/>
      <c r="H63" s="1"/>
      <c r="I63" s="1"/>
      <c r="J63" s="1"/>
      <c r="K63" s="1"/>
      <c r="L63" s="1"/>
      <c r="M63" s="1"/>
      <c r="N63" s="1"/>
      <c r="O63" s="1"/>
      <c r="P63" s="1"/>
      <c r="Q63" s="1"/>
      <c r="R63" s="1"/>
      <c r="S63" s="1"/>
      <c r="T63" s="10"/>
      <c r="U63" s="1"/>
      <c r="V63" s="1"/>
      <c r="W63" s="1"/>
      <c r="X63" s="1"/>
      <c r="Y63" s="1"/>
      <c r="Z63" s="1"/>
      <c r="AA63" s="1"/>
      <c r="AB63" s="1"/>
      <c r="AC63" s="1"/>
      <c r="AD63" s="1"/>
      <c r="AE63" s="1"/>
      <c r="AF63" s="1"/>
      <c r="AG63" s="1"/>
      <c r="AH63" s="1"/>
      <c r="AI63" s="1"/>
    </row>
    <row r="64" spans="1:35">
      <c r="A64" s="7" t="s">
        <v>79</v>
      </c>
      <c r="B64" s="7">
        <v>11.164273141789845</v>
      </c>
      <c r="C64" s="7">
        <v>5.0054779503140194</v>
      </c>
      <c r="D64" s="7">
        <v>6.1587951914758259</v>
      </c>
      <c r="E64" s="1"/>
      <c r="F64" s="1"/>
      <c r="G64" s="1"/>
      <c r="H64" s="1"/>
      <c r="I64" s="1"/>
      <c r="J64" s="1"/>
      <c r="K64" s="1"/>
      <c r="L64" s="1"/>
      <c r="M64" s="1"/>
      <c r="N64" s="1"/>
      <c r="O64" s="1"/>
      <c r="P64" s="1"/>
      <c r="Q64" s="1"/>
      <c r="R64" s="1"/>
      <c r="S64" s="1"/>
      <c r="T64" s="10"/>
      <c r="U64" s="1"/>
      <c r="V64" s="1"/>
      <c r="W64" s="1"/>
      <c r="X64" s="1"/>
      <c r="Y64" s="1"/>
      <c r="Z64" s="1"/>
      <c r="AA64" s="1"/>
      <c r="AB64" s="1"/>
      <c r="AC64" s="1"/>
      <c r="AD64" s="1"/>
      <c r="AE64" s="1"/>
      <c r="AF64" s="1"/>
      <c r="AG64" s="1"/>
      <c r="AH64" s="1"/>
      <c r="AI64" s="1"/>
    </row>
    <row r="65" spans="1:35">
      <c r="A65" s="7" t="s">
        <v>80</v>
      </c>
      <c r="B65" s="7">
        <v>31.486182169812562</v>
      </c>
      <c r="C65" s="7">
        <v>16.232516405564308</v>
      </c>
      <c r="D65" s="7">
        <v>15.253665764248254</v>
      </c>
      <c r="E65" s="1"/>
      <c r="F65" s="1"/>
      <c r="G65" s="1"/>
      <c r="H65" s="1"/>
      <c r="I65" s="1"/>
      <c r="J65" s="1"/>
      <c r="K65" s="1"/>
      <c r="L65" s="1"/>
      <c r="M65" s="1"/>
      <c r="N65" s="1"/>
      <c r="O65" s="1"/>
      <c r="P65" s="1"/>
      <c r="Q65" s="1"/>
      <c r="R65" s="1"/>
      <c r="S65" s="1"/>
      <c r="T65" s="10"/>
      <c r="U65" s="1"/>
      <c r="V65" s="1"/>
      <c r="W65" s="1"/>
      <c r="X65" s="1"/>
      <c r="Y65" s="1"/>
      <c r="Z65" s="1"/>
      <c r="AA65" s="1"/>
      <c r="AB65" s="1"/>
      <c r="AC65" s="1"/>
      <c r="AD65" s="1"/>
      <c r="AE65" s="1"/>
      <c r="AF65" s="1"/>
      <c r="AG65" s="1"/>
      <c r="AH65" s="1"/>
      <c r="AI65" s="1"/>
    </row>
    <row r="66" spans="1:35">
      <c r="A66" s="7" t="s">
        <v>82</v>
      </c>
      <c r="B66" s="7">
        <v>12.84262522284968</v>
      </c>
      <c r="C66" s="7">
        <v>2.0808675811608173</v>
      </c>
      <c r="D66" s="7">
        <v>10.761757641688863</v>
      </c>
      <c r="E66" s="1"/>
      <c r="F66" s="1"/>
      <c r="G66" s="1"/>
      <c r="H66" s="1"/>
      <c r="I66" s="1"/>
      <c r="J66" s="1"/>
      <c r="K66" s="1"/>
      <c r="L66" s="1"/>
      <c r="M66" s="1"/>
      <c r="N66" s="1"/>
      <c r="O66" s="1"/>
      <c r="P66" s="1"/>
      <c r="Q66" s="1"/>
      <c r="R66" s="1"/>
      <c r="S66" s="1"/>
      <c r="T66" s="10"/>
      <c r="U66" s="1"/>
      <c r="V66" s="1"/>
      <c r="W66" s="1"/>
      <c r="X66" s="1"/>
      <c r="Y66" s="1"/>
      <c r="Z66" s="1"/>
      <c r="AA66" s="1"/>
      <c r="AB66" s="1"/>
      <c r="AC66" s="1"/>
      <c r="AD66" s="1"/>
      <c r="AE66" s="1"/>
      <c r="AF66" s="1"/>
      <c r="AG66" s="1"/>
      <c r="AH66" s="1"/>
      <c r="AI66" s="1"/>
    </row>
    <row r="67" spans="1:35">
      <c r="A67" s="1"/>
      <c r="B67" s="1"/>
      <c r="C67" s="1"/>
      <c r="D67" s="1"/>
      <c r="E67" s="1"/>
      <c r="F67" s="1"/>
      <c r="G67" s="1"/>
      <c r="H67" s="1"/>
      <c r="I67" s="1"/>
      <c r="J67" s="1"/>
      <c r="K67" s="1"/>
      <c r="L67" s="1"/>
      <c r="M67" s="1"/>
      <c r="N67" s="1"/>
      <c r="O67" s="1"/>
      <c r="P67" s="1"/>
      <c r="Q67" s="1"/>
      <c r="R67" s="1"/>
      <c r="S67" s="1"/>
      <c r="T67" s="10"/>
      <c r="U67" s="1"/>
      <c r="V67" s="1"/>
      <c r="W67" s="1"/>
      <c r="X67" s="1"/>
      <c r="Y67" s="1"/>
      <c r="Z67" s="1"/>
      <c r="AA67" s="1"/>
      <c r="AB67" s="1"/>
      <c r="AC67" s="1"/>
      <c r="AD67" s="1"/>
      <c r="AE67" s="1"/>
      <c r="AF67" s="1"/>
      <c r="AG67" s="1"/>
      <c r="AH67" s="1"/>
      <c r="AI67" s="1"/>
    </row>
    <row r="68" spans="1:35">
      <c r="A68" s="1"/>
      <c r="B68" s="1"/>
      <c r="C68" s="1"/>
      <c r="D68" s="1"/>
      <c r="E68" s="1"/>
      <c r="F68" s="1"/>
      <c r="G68" s="1"/>
      <c r="H68" s="1"/>
      <c r="I68" s="1"/>
      <c r="J68" s="1"/>
      <c r="K68" s="1"/>
      <c r="L68" s="1"/>
      <c r="M68" s="1"/>
      <c r="N68" s="1"/>
      <c r="O68" s="1"/>
      <c r="P68" s="1"/>
      <c r="Q68" s="1"/>
      <c r="R68" s="1"/>
      <c r="S68" s="1"/>
      <c r="T68" s="10"/>
      <c r="U68" s="1"/>
      <c r="V68" s="1"/>
      <c r="W68" s="1"/>
      <c r="X68" s="1"/>
      <c r="Y68" s="1"/>
      <c r="Z68" s="1"/>
      <c r="AA68" s="1"/>
      <c r="AB68" s="1"/>
      <c r="AC68" s="1"/>
      <c r="AD68" s="1"/>
      <c r="AE68" s="1"/>
      <c r="AF68" s="1"/>
      <c r="AG68" s="1"/>
      <c r="AH68" s="1"/>
      <c r="AI68" s="1"/>
    </row>
    <row r="69" spans="1:35">
      <c r="A69" s="1"/>
      <c r="B69" s="1"/>
      <c r="C69" s="1"/>
      <c r="D69" s="1"/>
      <c r="E69" s="1"/>
      <c r="F69" s="1"/>
      <c r="G69" s="1"/>
      <c r="H69" s="1"/>
      <c r="I69" s="1"/>
      <c r="J69" s="1"/>
      <c r="K69" s="1"/>
      <c r="L69" s="1"/>
      <c r="M69" s="1"/>
      <c r="N69" s="1"/>
      <c r="O69" s="1"/>
      <c r="P69" s="1"/>
      <c r="Q69" s="1"/>
      <c r="R69" s="1"/>
      <c r="S69" s="1"/>
      <c r="T69" s="10"/>
      <c r="U69" s="1"/>
      <c r="V69" s="1"/>
      <c r="W69" s="1"/>
      <c r="X69" s="1"/>
      <c r="Y69" s="1"/>
      <c r="Z69" s="1"/>
      <c r="AA69" s="1"/>
      <c r="AB69" s="1"/>
      <c r="AC69" s="1"/>
      <c r="AD69" s="1"/>
      <c r="AE69" s="1"/>
      <c r="AF69" s="1"/>
      <c r="AG69" s="1"/>
      <c r="AH69" s="1"/>
      <c r="AI69" s="1"/>
    </row>
    <row r="70" spans="1:35">
      <c r="A70" s="1"/>
      <c r="B70" s="1"/>
      <c r="C70" s="1"/>
      <c r="D70" s="1"/>
      <c r="E70" s="1"/>
      <c r="F70" s="1"/>
      <c r="G70" s="1"/>
      <c r="H70" s="1"/>
      <c r="I70" s="1"/>
      <c r="J70" s="1"/>
      <c r="K70" s="1"/>
      <c r="L70" s="1"/>
      <c r="M70" s="1"/>
      <c r="N70" s="1"/>
      <c r="O70" s="1"/>
      <c r="P70" s="1"/>
      <c r="Q70" s="1"/>
      <c r="R70" s="1"/>
      <c r="S70" s="1"/>
      <c r="T70" s="10"/>
      <c r="U70" s="1"/>
      <c r="V70" s="1"/>
      <c r="W70" s="1"/>
      <c r="X70" s="1"/>
      <c r="Y70" s="1"/>
      <c r="Z70" s="1"/>
      <c r="AA70" s="1"/>
      <c r="AB70" s="1"/>
      <c r="AC70" s="1"/>
      <c r="AD70" s="1"/>
      <c r="AE70" s="1"/>
      <c r="AF70" s="1"/>
      <c r="AG70" s="1"/>
      <c r="AH70" s="1"/>
      <c r="AI70" s="1"/>
    </row>
    <row r="71" spans="1:35">
      <c r="A71" s="1"/>
      <c r="B71" s="1"/>
      <c r="C71" s="1"/>
      <c r="D71" s="1"/>
      <c r="E71" s="1"/>
      <c r="F71" s="1"/>
      <c r="G71" s="1"/>
      <c r="H71" s="1"/>
      <c r="I71" s="1"/>
      <c r="J71" s="1"/>
      <c r="K71" s="1"/>
      <c r="L71" s="1"/>
      <c r="M71" s="1"/>
      <c r="N71" s="1"/>
      <c r="O71" s="1"/>
      <c r="P71" s="1"/>
      <c r="Q71" s="1"/>
      <c r="R71" s="1"/>
      <c r="S71" s="1"/>
      <c r="T71" s="10"/>
      <c r="U71" s="1"/>
      <c r="V71" s="1"/>
      <c r="W71" s="1"/>
      <c r="X71" s="1"/>
      <c r="Y71" s="1"/>
      <c r="Z71" s="1"/>
      <c r="AA71" s="1"/>
      <c r="AB71" s="1"/>
      <c r="AC71" s="1"/>
      <c r="AD71" s="1"/>
      <c r="AE71" s="1"/>
      <c r="AF71" s="1"/>
      <c r="AG71" s="1"/>
      <c r="AH71" s="1"/>
      <c r="AI71" s="1"/>
    </row>
    <row r="72" spans="1:35">
      <c r="A72" s="1"/>
      <c r="B72" s="1"/>
      <c r="C72" s="1"/>
      <c r="D72" s="1"/>
      <c r="E72" s="1"/>
      <c r="F72" s="1"/>
      <c r="G72" s="1"/>
      <c r="H72" s="1"/>
      <c r="I72" s="1"/>
      <c r="J72" s="1"/>
      <c r="K72" s="1"/>
      <c r="L72" s="1"/>
      <c r="M72" s="1"/>
      <c r="N72" s="1"/>
      <c r="O72" s="1"/>
      <c r="P72" s="1"/>
      <c r="Q72" s="1"/>
      <c r="R72" s="1"/>
      <c r="S72" s="1"/>
      <c r="T72" s="10"/>
      <c r="U72" s="1"/>
      <c r="V72" s="1"/>
      <c r="W72" s="1"/>
      <c r="X72" s="1"/>
      <c r="Y72" s="1"/>
      <c r="Z72" s="1"/>
      <c r="AA72" s="1"/>
      <c r="AB72" s="1"/>
      <c r="AC72" s="1"/>
      <c r="AD72" s="1"/>
      <c r="AE72" s="1"/>
      <c r="AF72" s="1"/>
      <c r="AG72" s="1"/>
      <c r="AH72" s="1"/>
      <c r="AI72" s="1"/>
    </row>
    <row r="73" spans="1:35">
      <c r="A73" s="1"/>
      <c r="B73" s="1"/>
      <c r="C73" s="1"/>
      <c r="D73" s="1"/>
      <c r="E73" s="1"/>
      <c r="F73" s="1"/>
      <c r="G73" s="1"/>
      <c r="H73" s="1"/>
      <c r="I73" s="1"/>
      <c r="J73" s="1"/>
      <c r="K73" s="1"/>
      <c r="L73" s="1"/>
      <c r="M73" s="1"/>
      <c r="N73" s="1"/>
      <c r="O73" s="1"/>
      <c r="P73" s="1"/>
      <c r="Q73" s="1"/>
      <c r="R73" s="1"/>
      <c r="S73" s="1"/>
      <c r="T73" s="10"/>
      <c r="U73" s="1"/>
      <c r="V73" s="1"/>
      <c r="W73" s="1"/>
      <c r="X73" s="1"/>
      <c r="Y73" s="1"/>
      <c r="Z73" s="1"/>
      <c r="AA73" s="1"/>
      <c r="AB73" s="1"/>
      <c r="AC73" s="1"/>
      <c r="AD73" s="1"/>
      <c r="AE73" s="1"/>
      <c r="AF73" s="1"/>
      <c r="AG73" s="1"/>
      <c r="AH73" s="1"/>
      <c r="AI73" s="1"/>
    </row>
    <row r="74" spans="1:35">
      <c r="A74" s="1"/>
      <c r="B74" s="1"/>
      <c r="C74" s="1"/>
      <c r="D74" s="1"/>
      <c r="E74" s="1"/>
      <c r="F74" s="1"/>
      <c r="G74" s="1"/>
      <c r="H74" s="1"/>
      <c r="I74" s="1"/>
      <c r="J74" s="1"/>
      <c r="K74" s="1"/>
      <c r="L74" s="1"/>
      <c r="M74" s="1"/>
      <c r="N74" s="1"/>
      <c r="O74" s="1"/>
      <c r="P74" s="1"/>
      <c r="Q74" s="1"/>
      <c r="R74" s="1"/>
      <c r="S74" s="1"/>
      <c r="T74" s="10"/>
      <c r="U74" s="1"/>
      <c r="V74" s="1"/>
      <c r="W74" s="1"/>
      <c r="X74" s="1"/>
      <c r="Y74" s="1"/>
      <c r="Z74" s="1"/>
      <c r="AA74" s="1"/>
      <c r="AB74" s="1"/>
      <c r="AC74" s="1"/>
      <c r="AD74" s="1"/>
      <c r="AE74" s="1"/>
      <c r="AF74" s="1"/>
      <c r="AG74" s="1"/>
      <c r="AH74" s="1"/>
      <c r="AI74" s="1"/>
    </row>
    <row r="75" spans="1:3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row>
    <row r="76" spans="1:3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row>
    <row r="77" spans="1:3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row>
    <row r="78" spans="1:3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row>
    <row r="79" spans="1:3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row>
    <row r="80" spans="1:3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row>
    <row r="81" spans="1:3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row>
    <row r="82" spans="1:3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row>
    <row r="83" spans="1:3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row>
    <row r="84" spans="1:3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row>
    <row r="85" spans="1:3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row>
    <row r="86" spans="1:3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row>
    <row r="87" spans="1:3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row>
    <row r="88" spans="1:3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row>
    <row r="89" spans="1:3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row>
    <row r="90" spans="1:3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row>
    <row r="91" spans="1:3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row>
    <row r="92" spans="1:3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row>
    <row r="93" spans="1:3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row>
    <row r="94" spans="1:3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row>
    <row r="95" spans="1:3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row>
    <row r="96" spans="1:3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row>
    <row r="97" spans="1:3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row>
    <row r="98" spans="1:3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row>
    <row r="99" spans="1:3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row>
    <row r="100" spans="1: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row>
    <row r="101" spans="1: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row>
    <row r="102" spans="1: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row>
    <row r="103" spans="1: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row>
    <row r="104" spans="1: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row>
    <row r="105" spans="1: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row>
    <row r="106" spans="1: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row>
    <row r="107" spans="1: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row>
    <row r="108" spans="1: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row>
    <row r="109" spans="1: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row>
    <row r="110" spans="1: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row>
    <row r="111" spans="1: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row>
    <row r="112" spans="1: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row>
    <row r="113" spans="1: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row>
    <row r="114" spans="1: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row>
    <row r="115" spans="1: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row>
    <row r="116" spans="1: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row>
    <row r="117" spans="1: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row>
    <row r="118" spans="1: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row>
    <row r="119" spans="1: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row>
    <row r="120" spans="1: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row>
    <row r="121" spans="1: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row>
    <row r="122" spans="1: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row>
    <row r="123" spans="1: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row>
    <row r="124" spans="1: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row>
    <row r="125" spans="1: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row>
    <row r="126" spans="1: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row>
    <row r="127" spans="1: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row>
    <row r="128" spans="1: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row>
    <row r="129" spans="1: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row>
    <row r="130" spans="1: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row>
    <row r="131" spans="1: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row>
    <row r="132" spans="1: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row>
    <row r="133" spans="1: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row>
    <row r="134" spans="1: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row>
    <row r="135" spans="1: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row>
    <row r="136" spans="1: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row>
    <row r="137" spans="1: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row>
    <row r="138" spans="1: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row>
    <row r="139" spans="1: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row>
    <row r="140" spans="1: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row>
    <row r="141" spans="1: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row>
    <row r="142" spans="1: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row>
    <row r="143" spans="1: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row>
    <row r="144" spans="1: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row>
    <row r="145" spans="1: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row>
    <row r="146" spans="1: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row>
    <row r="147" spans="1: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row>
    <row r="148" spans="1: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row>
    <row r="149" spans="1: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row>
    <row r="150" spans="1: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row>
    <row r="151" spans="1: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row>
    <row r="152" spans="1: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row>
    <row r="153" spans="1: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row>
    <row r="154" spans="1: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row>
    <row r="155" spans="1: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row>
    <row r="156" spans="1: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row>
    <row r="157" spans="1: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row>
    <row r="158" spans="1: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row>
    <row r="159" spans="1: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row>
    <row r="160" spans="1: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row>
    <row r="161" spans="1: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row>
    <row r="162" spans="1: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row>
    <row r="163" spans="1: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row>
    <row r="164" spans="1: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row>
    <row r="165" spans="1: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row>
    <row r="166" spans="1: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row>
    <row r="167" spans="1: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row>
    <row r="168" spans="1: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row>
    <row r="169" spans="1: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row>
    <row r="170" spans="1: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row>
    <row r="171" spans="1: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row>
    <row r="172" spans="1: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row>
    <row r="173" spans="1: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row>
    <row r="174" spans="1: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row>
    <row r="175" spans="1: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row>
    <row r="176" spans="1: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row>
    <row r="177" spans="1: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row>
    <row r="178" spans="1: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row>
    <row r="179" spans="1: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row>
    <row r="180" spans="1: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row>
    <row r="181" spans="1: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row>
    <row r="182" spans="1: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row>
    <row r="183" spans="1: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row>
    <row r="184" spans="1: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row>
    <row r="185" spans="1: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row>
    <row r="186" spans="1: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row>
    <row r="187" spans="1: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row>
    <row r="188" spans="1: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row>
    <row r="189" spans="1: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row>
    <row r="190" spans="1: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row>
    <row r="191" spans="1: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row>
    <row r="192" spans="1: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row>
    <row r="193" spans="1: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row>
    <row r="194" spans="1: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row>
    <row r="195" spans="1: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row>
    <row r="196" spans="1: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row>
    <row r="197" spans="1: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row>
    <row r="198" spans="1: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row>
    <row r="199" spans="1: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row>
    <row r="200" spans="1: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row>
    <row r="201" spans="1: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row>
    <row r="202" spans="1: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row>
    <row r="203" spans="1: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row>
    <row r="204" spans="1: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row>
    <row r="205" spans="1: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row>
    <row r="206" spans="1: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row>
    <row r="207" spans="1: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row>
    <row r="208" spans="1: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row>
    <row r="209" spans="1: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row>
    <row r="210" spans="1: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row>
    <row r="211" spans="1: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row>
    <row r="212" spans="1: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row>
    <row r="213" spans="1: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row>
    <row r="214" spans="1: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row>
    <row r="215" spans="1: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row>
    <row r="216" spans="1: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row>
    <row r="217" spans="1: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row>
    <row r="218" spans="1: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row>
    <row r="219" spans="1: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row>
    <row r="220" spans="1: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row>
    <row r="221" spans="1: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row>
    <row r="222" spans="1: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row>
    <row r="223" spans="1: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row>
    <row r="224" spans="1: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row>
    <row r="225" spans="1: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row>
    <row r="226" spans="1: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row>
    <row r="227" spans="1: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row>
    <row r="228" spans="1: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row>
    <row r="229" spans="1: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row>
    <row r="230" spans="1: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row>
    <row r="231" spans="1: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row>
    <row r="232" spans="1: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row>
    <row r="233" spans="1: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row>
    <row r="234" spans="1: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row>
    <row r="235" spans="1: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row>
    <row r="236" spans="1: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row>
    <row r="237" spans="1: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row>
    <row r="238" spans="1: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row>
    <row r="239" spans="1: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row>
    <row r="240" spans="1: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row>
    <row r="241" spans="1: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row>
    <row r="242" spans="1: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row>
    <row r="243" spans="1: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row>
    <row r="244" spans="1: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row>
    <row r="245" spans="1: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row>
    <row r="246" spans="1: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row>
    <row r="247" spans="1: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row>
    <row r="248" spans="1: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row>
    <row r="249" spans="1: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row>
    <row r="250" spans="1: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row>
    <row r="251" spans="1: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row>
    <row r="252" spans="1: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row>
    <row r="253" spans="1: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row>
    <row r="254" spans="1: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row>
    <row r="255" spans="1: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row>
    <row r="256" spans="1: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row>
    <row r="257" spans="1: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row>
    <row r="258" spans="1: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row>
    <row r="259" spans="1: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row>
    <row r="260" spans="1: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row>
    <row r="261" spans="1: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row>
    <row r="262" spans="1: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row>
    <row r="263" spans="1: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row>
    <row r="264" spans="1: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row>
    <row r="265" spans="1: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row>
    <row r="266" spans="1: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row>
    <row r="267" spans="1: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row>
    <row r="268" spans="1: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row>
    <row r="269" spans="1: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row>
    <row r="270" spans="1: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row>
    <row r="271" spans="1: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row>
    <row r="272" spans="1: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row>
    <row r="273" spans="1: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row>
    <row r="274" spans="1: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row>
    <row r="275" spans="1: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row>
    <row r="276" spans="1: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row>
    <row r="277" spans="1: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row>
    <row r="278" spans="1: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row>
    <row r="279" spans="1: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row>
    <row r="280" spans="1: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row>
    <row r="281" spans="1: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row>
    <row r="282" spans="1: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row>
    <row r="283" spans="1: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row>
    <row r="284" spans="1: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row>
    <row r="285" spans="1: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row>
    <row r="286" spans="1: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row>
    <row r="287" spans="1: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row>
    <row r="288" spans="1: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row>
    <row r="289" spans="1: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row>
    <row r="290" spans="1: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row>
    <row r="291" spans="1: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row>
    <row r="292" spans="1: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row>
    <row r="293" spans="1: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row>
    <row r="294" spans="1: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row>
    <row r="295" spans="1: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row>
    <row r="296" spans="1: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row>
    <row r="297" spans="1: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row>
    <row r="298" spans="1: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row>
    <row r="299" spans="1: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row>
    <row r="300" spans="1: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row>
    <row r="301" spans="1: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row>
    <row r="302" spans="1: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row>
    <row r="303" spans="1: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row>
    <row r="304" spans="1: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row>
    <row r="305" spans="1: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row>
    <row r="306" spans="1: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row>
    <row r="307" spans="1: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row>
    <row r="308" spans="1: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row>
    <row r="309" spans="1: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row>
    <row r="310" spans="1: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row>
    <row r="311" spans="1: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row>
    <row r="312" spans="1: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row>
    <row r="313" spans="1: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row>
    <row r="314" spans="1: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row>
    <row r="315" spans="1: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row>
    <row r="316" spans="1: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row>
    <row r="317" spans="1: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row>
    <row r="318" spans="1: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row>
    <row r="319" spans="1: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row>
    <row r="320" spans="1: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row>
    <row r="321" spans="1: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row>
    <row r="322" spans="1: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row>
    <row r="323" spans="1: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row>
    <row r="324" spans="1: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row>
    <row r="325" spans="1: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row>
    <row r="326" spans="1: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row>
    <row r="327" spans="1: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row>
    <row r="328" spans="1: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row>
    <row r="329" spans="1: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row>
    <row r="330" spans="1: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row>
    <row r="331" spans="1: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row>
    <row r="332" spans="1: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row>
    <row r="333" spans="1: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row>
    <row r="334" spans="1: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row>
    <row r="335" spans="1: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row>
    <row r="336" spans="1: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row>
    <row r="337" spans="1: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row>
    <row r="338" spans="1: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row>
    <row r="339" spans="1: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row>
    <row r="340" spans="1: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row>
    <row r="341" spans="1: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row>
    <row r="342" spans="1: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row>
    <row r="343" spans="1: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row>
    <row r="344" spans="1: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row>
    <row r="345" spans="1: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row>
    <row r="346" spans="1: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row>
    <row r="347" spans="1: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row>
    <row r="348" spans="1: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row>
    <row r="349" spans="1: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row>
    <row r="350" spans="1: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row>
    <row r="351" spans="1: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row>
    <row r="352" spans="1: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row>
    <row r="353" spans="1: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row>
    <row r="354" spans="1: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row>
    <row r="355" spans="1: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row>
    <row r="356" spans="1: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row>
    <row r="357" spans="1: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row>
    <row r="358" spans="1: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row>
    <row r="359" spans="1: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row>
    <row r="360" spans="1: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row>
    <row r="361" spans="1: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row>
    <row r="362" spans="1: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row>
    <row r="363" spans="1: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row>
    <row r="364" spans="1: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row>
    <row r="365" spans="1: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row>
    <row r="366" spans="1: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row>
    <row r="367" spans="1: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row>
    <row r="368" spans="1: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row>
    <row r="369" spans="1: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row>
    <row r="370" spans="1: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row>
    <row r="371" spans="1: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row>
    <row r="372" spans="1: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row>
    <row r="373" spans="1: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row>
    <row r="374" spans="1: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row>
    <row r="375" spans="1: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row>
    <row r="376" spans="1: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row>
    <row r="377" spans="1: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row>
    <row r="378" spans="1: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row>
    <row r="379" spans="1: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row>
    <row r="380" spans="1: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row>
    <row r="381" spans="1: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row>
    <row r="382" spans="1: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row>
    <row r="383" spans="1: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row>
    <row r="384" spans="1: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row>
    <row r="385" spans="1: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row>
    <row r="386" spans="1: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row>
    <row r="387" spans="1: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row>
    <row r="388" spans="1: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row>
    <row r="389" spans="1: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row>
    <row r="390" spans="1: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row>
    <row r="391" spans="1: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row>
    <row r="392" spans="1: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row>
    <row r="393" spans="1: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row>
    <row r="394" spans="1: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row>
    <row r="395" spans="1: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row>
    <row r="396" spans="1: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row>
    <row r="397" spans="1: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row>
    <row r="398" spans="1: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row>
    <row r="399" spans="1: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row>
    <row r="400" spans="1: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row>
    <row r="401" spans="1: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row>
    <row r="402" spans="1: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row>
    <row r="403" spans="1: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row>
    <row r="404" spans="1: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row>
    <row r="405" spans="1: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row>
    <row r="406" spans="1: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row>
    <row r="407" spans="1: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row>
    <row r="408" spans="1: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row>
    <row r="409" spans="1: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row>
    <row r="410" spans="1: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row>
    <row r="411" spans="1: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row>
    <row r="412" spans="1: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row>
    <row r="413" spans="1: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row>
    <row r="414" spans="1: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row>
    <row r="415" spans="1: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row>
    <row r="416" spans="1: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row>
    <row r="417" spans="1: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row>
    <row r="418" spans="1: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row>
    <row r="419" spans="1: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row>
    <row r="420" spans="1: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row>
    <row r="421" spans="1: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row>
    <row r="422" spans="1: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row>
    <row r="423" spans="1: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row>
    <row r="424" spans="1: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row>
    <row r="425" spans="1: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row>
    <row r="426" spans="1: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row>
    <row r="427" spans="1: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row>
    <row r="428" spans="1: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row>
    <row r="429" spans="1: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row>
    <row r="430" spans="1: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row>
    <row r="431" spans="1: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row>
    <row r="432" spans="1: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row>
    <row r="433" spans="1: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row>
    <row r="434" spans="1: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row>
    <row r="435" spans="1: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row>
    <row r="436" spans="1: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row>
    <row r="437" spans="1: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row>
    <row r="438" spans="1: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row>
    <row r="439" spans="1: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row>
    <row r="440" spans="1: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row>
    <row r="441" spans="1: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row>
    <row r="442" spans="1: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row>
    <row r="443" spans="1: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row>
    <row r="444" spans="1: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row>
    <row r="445" spans="1: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row>
    <row r="446" spans="1: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row>
    <row r="447" spans="1: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row>
    <row r="448" spans="1: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row>
    <row r="449" spans="1: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row>
    <row r="450" spans="1: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row>
    <row r="451" spans="1: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row>
    <row r="452" spans="1: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row>
    <row r="453" spans="1: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row>
    <row r="454" spans="1: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row>
    <row r="455" spans="1: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row>
    <row r="456" spans="1: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row>
    <row r="457" spans="1: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row>
    <row r="458" spans="1: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row>
    <row r="459" spans="1: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row>
    <row r="460" spans="1: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row>
    <row r="461" spans="1: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row>
    <row r="462" spans="1: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row>
    <row r="463" spans="1: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row>
    <row r="464" spans="1: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row>
    <row r="465" spans="1: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row>
    <row r="466" spans="1: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row>
    <row r="467" spans="1: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row>
    <row r="468" spans="1: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row>
    <row r="469" spans="1: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row>
    <row r="470" spans="1: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row>
    <row r="471" spans="1: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row>
    <row r="472" spans="1: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row>
    <row r="473" spans="1: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row>
    <row r="474" spans="1: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row>
    <row r="475" spans="1: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row>
    <row r="476" spans="1: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row>
    <row r="477" spans="1: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row>
    <row r="478" spans="1: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row>
    <row r="479" spans="1: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row>
    <row r="480" spans="1: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row>
    <row r="481" spans="1: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row>
    <row r="482" spans="1: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row>
    <row r="483" spans="1: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row>
    <row r="484" spans="1: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row>
    <row r="485" spans="1: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row>
    <row r="486" spans="1: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row>
    <row r="487" spans="1: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row>
    <row r="488" spans="1: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row>
    <row r="489" spans="1: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row>
    <row r="490" spans="1: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row>
    <row r="491" spans="1: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row>
    <row r="492" spans="1: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row>
    <row r="493" spans="1: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row>
    <row r="494" spans="1: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row>
    <row r="495" spans="1: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row>
    <row r="496" spans="1: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row>
    <row r="497" spans="1: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row>
    <row r="498" spans="1: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row>
    <row r="499" spans="1: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row>
    <row r="500" spans="1: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row>
    <row r="501" spans="1: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row>
    <row r="502" spans="1: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row>
    <row r="503" spans="1: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row>
    <row r="504" spans="1: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row>
    <row r="505" spans="1: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row>
    <row r="506" spans="1: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row>
    <row r="507" spans="1: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row>
    <row r="508" spans="1: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row>
    <row r="509" spans="1: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row>
    <row r="510" spans="1: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row>
    <row r="511" spans="1: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row>
    <row r="512" spans="1: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row>
    <row r="513" spans="1: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row>
    <row r="514" spans="1: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row>
    <row r="515" spans="1: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row>
    <row r="516" spans="1: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row>
    <row r="517" spans="1: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row>
  </sheetData>
  <mergeCells count="1">
    <mergeCell ref="E1:Q3"/>
  </mergeCells>
  <pageMargins left="0.7" right="0.7" top="0.75" bottom="0.75" header="0.3" footer="0.3"/>
  <drawing r:id="rId1"/>
  <legacyDrawing r:id="rId2"/>
  <controls>
    <mc:AlternateContent xmlns:mc="http://schemas.openxmlformats.org/markup-compatibility/2006">
      <mc:Choice Requires="x14">
        <control shapeId="11265" r:id="rId3" name="ListBox1">
          <controlPr locked="0" defaultSize="0" autoLine="0" linkedCell="J11" listFillRange="ÜLKELERSON" r:id="rId4">
            <anchor moveWithCells="1">
              <from>
                <xdr:col>4</xdr:col>
                <xdr:colOff>15240</xdr:colOff>
                <xdr:row>4</xdr:row>
                <xdr:rowOff>121920</xdr:rowOff>
              </from>
              <to>
                <xdr:col>6</xdr:col>
                <xdr:colOff>403860</xdr:colOff>
                <xdr:row>16</xdr:row>
                <xdr:rowOff>144780</xdr:rowOff>
              </to>
            </anchor>
          </controlPr>
        </control>
      </mc:Choice>
      <mc:Fallback>
        <control shapeId="11265" r:id="rId3" name="ListBox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F9B69-787D-4AA4-B6B5-544385C89B61}">
  <sheetPr codeName="Sayfa13"/>
  <dimension ref="A1:AG508"/>
  <sheetViews>
    <sheetView workbookViewId="0">
      <selection activeCell="N26" sqref="N26"/>
    </sheetView>
  </sheetViews>
  <sheetFormatPr defaultRowHeight="14.4"/>
  <cols>
    <col min="1" max="1" width="13.88671875" bestFit="1" customWidth="1"/>
  </cols>
  <sheetData>
    <row r="1" spans="1:33" ht="14.4" customHeight="1">
      <c r="A1" s="49"/>
      <c r="B1" s="209" t="s">
        <v>145</v>
      </c>
      <c r="C1" s="210"/>
      <c r="D1" s="210"/>
      <c r="E1" s="210"/>
      <c r="F1" s="210"/>
      <c r="G1" s="211"/>
      <c r="H1" s="1"/>
      <c r="I1" s="1"/>
      <c r="J1" s="1"/>
      <c r="K1" s="1"/>
      <c r="L1" s="1"/>
      <c r="M1" s="1"/>
      <c r="N1" s="1"/>
      <c r="O1" s="1"/>
      <c r="P1" s="1"/>
      <c r="Q1" s="1"/>
      <c r="R1" s="1"/>
      <c r="S1" s="1"/>
      <c r="T1" s="1"/>
      <c r="U1" s="1"/>
      <c r="V1" s="1"/>
      <c r="W1" s="1"/>
      <c r="X1" s="1"/>
      <c r="Y1" s="1"/>
      <c r="Z1" s="1"/>
      <c r="AA1" s="1"/>
      <c r="AB1" s="1"/>
      <c r="AC1" s="1"/>
      <c r="AD1" s="1"/>
      <c r="AE1" s="1"/>
      <c r="AF1" s="1"/>
      <c r="AG1" s="1"/>
    </row>
    <row r="2" spans="1:33" ht="26.4">
      <c r="A2" s="49" t="s">
        <v>0</v>
      </c>
      <c r="B2" s="49" t="s">
        <v>146</v>
      </c>
      <c r="C2" s="49" t="s">
        <v>216</v>
      </c>
      <c r="D2" s="49" t="s">
        <v>217</v>
      </c>
      <c r="E2" s="49" t="s">
        <v>218</v>
      </c>
      <c r="F2" s="49" t="s">
        <v>97</v>
      </c>
      <c r="G2" s="49" t="s">
        <v>219</v>
      </c>
      <c r="H2" s="1"/>
      <c r="I2" s="1"/>
      <c r="J2" s="1"/>
      <c r="K2" s="1"/>
      <c r="L2" s="1"/>
      <c r="M2" s="1"/>
      <c r="N2" s="1"/>
      <c r="O2" s="1"/>
      <c r="P2" s="1"/>
      <c r="Q2" s="1"/>
      <c r="R2" s="1"/>
      <c r="S2" s="1"/>
      <c r="T2" s="1"/>
      <c r="U2" s="1"/>
      <c r="V2" s="1"/>
      <c r="W2" s="1"/>
      <c r="X2" s="1"/>
      <c r="Y2" s="1"/>
      <c r="Z2" s="1"/>
      <c r="AA2" s="1"/>
      <c r="AB2" s="1"/>
      <c r="AC2" s="1"/>
      <c r="AD2" s="1"/>
      <c r="AE2" s="1"/>
      <c r="AF2" s="1"/>
      <c r="AG2" s="1"/>
    </row>
    <row r="3" spans="1:33">
      <c r="A3" s="59" t="s">
        <v>4</v>
      </c>
      <c r="B3" s="59">
        <v>524.26600425418724</v>
      </c>
      <c r="C3" s="59">
        <v>519.90774829966358</v>
      </c>
      <c r="D3" s="59">
        <v>514.34046239919394</v>
      </c>
      <c r="E3" s="59">
        <v>504.15076631112953</v>
      </c>
      <c r="F3" s="59">
        <v>493.89623128472181</v>
      </c>
      <c r="G3" s="59">
        <v>491.36002524263733</v>
      </c>
      <c r="H3" s="1"/>
      <c r="I3" s="1"/>
      <c r="J3" s="1"/>
      <c r="K3" s="1"/>
      <c r="L3" s="1"/>
      <c r="M3" s="1"/>
      <c r="N3" s="1"/>
      <c r="O3" s="1"/>
      <c r="P3" s="1"/>
      <c r="Q3" s="1"/>
      <c r="R3" s="1"/>
      <c r="S3" s="1"/>
      <c r="T3" s="1"/>
      <c r="U3" s="1"/>
      <c r="V3" s="1"/>
      <c r="W3" s="1"/>
      <c r="X3" s="1"/>
      <c r="Y3" s="1"/>
      <c r="Z3" s="1"/>
      <c r="AA3" s="1"/>
      <c r="AB3" s="1"/>
      <c r="AC3" s="1"/>
      <c r="AD3" s="1"/>
      <c r="AE3" s="1"/>
      <c r="AF3" s="1"/>
      <c r="AG3" s="1"/>
    </row>
    <row r="4" spans="1:33">
      <c r="A4" s="59" t="s">
        <v>5</v>
      </c>
      <c r="B4" s="59">
        <v>505.61098328530875</v>
      </c>
      <c r="C4" s="59">
        <v>505.48359832016627</v>
      </c>
      <c r="D4" s="59">
        <v>502</v>
      </c>
      <c r="E4" s="59">
        <v>505.54074324980269</v>
      </c>
      <c r="F4" s="59">
        <v>496.74227422202898</v>
      </c>
      <c r="G4" s="59">
        <v>498.94231379959274</v>
      </c>
      <c r="H4" s="1"/>
      <c r="I4" s="1"/>
      <c r="J4" s="1"/>
      <c r="K4" s="1"/>
      <c r="L4" s="1"/>
      <c r="M4" s="1"/>
      <c r="N4" s="1"/>
      <c r="O4" s="1"/>
      <c r="P4" s="1"/>
      <c r="Q4" s="1"/>
      <c r="R4" s="1"/>
      <c r="S4" s="1"/>
      <c r="T4" s="1"/>
      <c r="U4" s="1"/>
      <c r="V4" s="1"/>
      <c r="W4" s="1"/>
      <c r="X4" s="1"/>
      <c r="Y4" s="1"/>
      <c r="Z4" s="1"/>
      <c r="AA4" s="1"/>
      <c r="AB4" s="1"/>
      <c r="AC4" s="1"/>
      <c r="AD4" s="1"/>
      <c r="AE4" s="1"/>
      <c r="AF4" s="1"/>
      <c r="AG4" s="1"/>
    </row>
    <row r="5" spans="1:33">
      <c r="A5" s="59" t="s">
        <v>6</v>
      </c>
      <c r="B5" s="59">
        <v>529.28641453316118</v>
      </c>
      <c r="C5" s="59">
        <v>520.34897264246354</v>
      </c>
      <c r="D5" s="59">
        <v>515.27227687388586</v>
      </c>
      <c r="E5" s="59">
        <v>514.52924472735526</v>
      </c>
      <c r="F5" s="59">
        <v>506.984362427169</v>
      </c>
      <c r="G5" s="59">
        <v>508.07030635647089</v>
      </c>
      <c r="H5" s="1"/>
      <c r="I5" s="1"/>
      <c r="J5" s="1"/>
      <c r="K5" s="1"/>
      <c r="L5" s="1"/>
      <c r="M5" s="1"/>
      <c r="N5" s="1"/>
      <c r="O5" s="1"/>
      <c r="P5" s="1"/>
      <c r="Q5" s="1"/>
      <c r="R5" s="1"/>
      <c r="S5" s="1"/>
      <c r="T5" s="1"/>
      <c r="U5" s="1"/>
      <c r="V5" s="1"/>
      <c r="W5" s="1"/>
      <c r="X5" s="1"/>
      <c r="Y5" s="1"/>
      <c r="Z5" s="1"/>
      <c r="AA5" s="1"/>
      <c r="AB5" s="1"/>
      <c r="AC5" s="1"/>
      <c r="AD5" s="1"/>
      <c r="AE5" s="1"/>
      <c r="AF5" s="1"/>
      <c r="AG5" s="1"/>
    </row>
    <row r="6" spans="1:33">
      <c r="A6" s="59" t="s">
        <v>7</v>
      </c>
      <c r="B6" s="59">
        <v>532.48673608140666</v>
      </c>
      <c r="C6" s="59">
        <v>527.00717884782534</v>
      </c>
      <c r="D6" s="59">
        <v>526.80515275093262</v>
      </c>
      <c r="E6" s="59">
        <v>518.07039959593624</v>
      </c>
      <c r="F6" s="59">
        <v>515.64742803482716</v>
      </c>
      <c r="G6" s="59">
        <v>512.01694282393089</v>
      </c>
      <c r="H6" s="1"/>
      <c r="I6" s="1"/>
      <c r="J6" s="1"/>
      <c r="K6" s="1"/>
      <c r="L6" s="1"/>
      <c r="M6" s="1"/>
      <c r="N6" s="1"/>
      <c r="O6" s="1"/>
      <c r="P6" s="1"/>
      <c r="Q6" s="1"/>
      <c r="R6" s="1"/>
      <c r="S6" s="1"/>
      <c r="T6" s="1"/>
      <c r="U6" s="1"/>
      <c r="V6" s="1"/>
      <c r="W6" s="1"/>
      <c r="X6" s="1"/>
      <c r="Y6" s="1"/>
      <c r="Z6" s="1"/>
      <c r="AA6" s="1"/>
      <c r="AB6" s="1"/>
      <c r="AC6" s="1"/>
      <c r="AD6" s="1"/>
      <c r="AE6" s="1"/>
      <c r="AF6" s="1"/>
      <c r="AG6" s="1"/>
    </row>
    <row r="7" spans="1:33">
      <c r="A7" s="59" t="s">
        <v>8</v>
      </c>
      <c r="B7" s="59">
        <v>419</v>
      </c>
      <c r="C7" s="59">
        <v>411.35033860708029</v>
      </c>
      <c r="D7" s="59">
        <v>421.06047296124808</v>
      </c>
      <c r="E7" s="59">
        <v>422.63235545200718</v>
      </c>
      <c r="F7" s="59">
        <v>422.67135797291297</v>
      </c>
      <c r="G7" s="59">
        <v>417.40655623356497</v>
      </c>
      <c r="H7" s="1"/>
      <c r="I7" s="1"/>
      <c r="J7" s="1"/>
      <c r="K7" s="1"/>
      <c r="L7" s="1"/>
      <c r="M7" s="1"/>
      <c r="N7" s="1"/>
      <c r="O7" s="1"/>
      <c r="P7" s="1"/>
      <c r="Q7" s="1"/>
      <c r="R7" s="1"/>
      <c r="S7" s="1"/>
      <c r="T7" s="1"/>
      <c r="U7" s="1"/>
      <c r="V7" s="1"/>
      <c r="W7" s="1"/>
      <c r="X7" s="1"/>
      <c r="Y7" s="1"/>
      <c r="Z7" s="1"/>
      <c r="AA7" s="1"/>
      <c r="AB7" s="1"/>
      <c r="AC7" s="1"/>
      <c r="AD7" s="1"/>
      <c r="AE7" s="1"/>
      <c r="AF7" s="1"/>
      <c r="AG7" s="1"/>
    </row>
    <row r="8" spans="1:33">
      <c r="A8" s="59" t="s">
        <v>9</v>
      </c>
      <c r="B8" s="59">
        <v>382</v>
      </c>
      <c r="C8" s="59">
        <v>369.9785134575373</v>
      </c>
      <c r="D8" s="59">
        <v>380.84821487547345</v>
      </c>
      <c r="E8" s="59">
        <v>376.48860107281814</v>
      </c>
      <c r="F8" s="59">
        <v>389.64382788353481</v>
      </c>
      <c r="G8" s="59">
        <v>390.93227374034632</v>
      </c>
      <c r="H8" s="1"/>
      <c r="I8" s="1"/>
      <c r="J8" s="1"/>
      <c r="K8" s="1"/>
      <c r="L8" s="1"/>
      <c r="M8" s="1" t="s">
        <v>146</v>
      </c>
      <c r="N8" s="1" t="s">
        <v>148</v>
      </c>
      <c r="O8" s="1" t="s">
        <v>149</v>
      </c>
      <c r="P8" s="1" t="s">
        <v>147</v>
      </c>
      <c r="Q8" s="1" t="s">
        <v>150</v>
      </c>
      <c r="R8" s="1" t="s">
        <v>151</v>
      </c>
      <c r="S8" s="1"/>
      <c r="T8" s="1"/>
      <c r="U8" s="1"/>
      <c r="V8" s="1"/>
      <c r="W8" s="1"/>
      <c r="X8" s="1"/>
      <c r="Y8" s="1"/>
      <c r="Z8" s="1"/>
      <c r="AA8" s="1"/>
      <c r="AB8" s="1"/>
      <c r="AC8" s="1"/>
      <c r="AD8" s="1"/>
      <c r="AE8" s="1"/>
      <c r="AF8" s="1"/>
      <c r="AG8" s="1"/>
    </row>
    <row r="9" spans="1:33">
      <c r="A9" s="59" t="s">
        <v>10</v>
      </c>
      <c r="B9" s="59">
        <v>516.45500048847032</v>
      </c>
      <c r="C9" s="59">
        <v>509.85935906720346</v>
      </c>
      <c r="D9" s="59">
        <v>492.8140942573923</v>
      </c>
      <c r="E9" s="59">
        <v>498.95788231767892</v>
      </c>
      <c r="F9" s="59">
        <v>492.32543788673183</v>
      </c>
      <c r="G9" s="59">
        <v>499.4676509062466</v>
      </c>
      <c r="H9" s="1"/>
      <c r="I9" s="1"/>
      <c r="J9" s="1"/>
      <c r="K9" s="1"/>
      <c r="L9" s="1" t="s">
        <v>24</v>
      </c>
      <c r="M9" s="10">
        <f>VLOOKUP(L9,A3:G39,2,0)</f>
        <v>483.37494854382908</v>
      </c>
      <c r="N9" s="10">
        <f t="shared" ref="N9:R9" si="0">VLOOKUP(M9,B3:H39,2,0)</f>
        <v>486.16608340191738</v>
      </c>
      <c r="O9" s="10">
        <f t="shared" si="0"/>
        <v>481.9538226208968</v>
      </c>
      <c r="P9" s="10">
        <f t="shared" si="0"/>
        <v>490.57102141135442</v>
      </c>
      <c r="Q9" s="10">
        <f t="shared" si="0"/>
        <v>482.30507154661876</v>
      </c>
      <c r="R9" s="10">
        <f t="shared" si="0"/>
        <v>496.12633069612497</v>
      </c>
      <c r="S9" s="1"/>
      <c r="T9" s="1"/>
      <c r="U9" s="1"/>
      <c r="V9" s="1"/>
      <c r="W9" s="1"/>
      <c r="X9" s="1"/>
      <c r="Y9" s="1"/>
      <c r="Z9" s="1"/>
      <c r="AA9" s="1"/>
      <c r="AB9" s="1"/>
      <c r="AC9" s="1"/>
      <c r="AD9" s="1"/>
      <c r="AE9" s="1"/>
      <c r="AF9" s="1"/>
      <c r="AG9" s="1"/>
    </row>
    <row r="10" spans="1:33">
      <c r="A10" s="59" t="s">
        <v>11</v>
      </c>
      <c r="B10" s="59">
        <v>514.28767517677591</v>
      </c>
      <c r="C10" s="59">
        <v>513.02594984186396</v>
      </c>
      <c r="D10" s="59">
        <v>503.27814716140233</v>
      </c>
      <c r="E10" s="59">
        <v>500.0267566254139</v>
      </c>
      <c r="F10" s="59">
        <v>511.08763174489843</v>
      </c>
      <c r="G10" s="59">
        <v>509.39837450250388</v>
      </c>
      <c r="H10" s="1"/>
      <c r="I10" s="1"/>
      <c r="J10" s="1"/>
      <c r="K10" s="1"/>
      <c r="L10" s="1"/>
      <c r="M10" s="1"/>
      <c r="N10" s="1"/>
      <c r="O10" s="1"/>
      <c r="P10" s="1"/>
      <c r="Q10" s="1"/>
      <c r="R10" s="1"/>
      <c r="S10" s="1"/>
      <c r="T10" s="1"/>
      <c r="U10" s="1"/>
      <c r="V10" s="1"/>
      <c r="W10" s="1"/>
      <c r="X10" s="1"/>
      <c r="Y10" s="1"/>
      <c r="Z10" s="1"/>
      <c r="AA10" s="1"/>
      <c r="AB10" s="1"/>
      <c r="AC10" s="1"/>
      <c r="AD10" s="1"/>
      <c r="AE10" s="1"/>
      <c r="AF10" s="1"/>
      <c r="AG10" s="1"/>
    </row>
    <row r="11" spans="1:33">
      <c r="A11" s="59" t="s">
        <v>12</v>
      </c>
      <c r="B11" s="59">
        <v>518</v>
      </c>
      <c r="C11" s="59">
        <v>514.57546164242035</v>
      </c>
      <c r="D11" s="59">
        <v>512.10419773905323</v>
      </c>
      <c r="E11" s="59">
        <v>520.54552167679503</v>
      </c>
      <c r="F11" s="59">
        <v>519.52913236906284</v>
      </c>
      <c r="G11" s="59">
        <v>523.41458013492047</v>
      </c>
      <c r="H11" s="1"/>
      <c r="I11" s="1"/>
      <c r="J11" s="1"/>
      <c r="K11" s="1"/>
      <c r="L11" s="1"/>
      <c r="M11" s="1"/>
      <c r="N11" s="1"/>
      <c r="O11" s="1"/>
      <c r="P11" s="1"/>
      <c r="Q11" s="1"/>
      <c r="R11" s="1"/>
      <c r="S11" s="1"/>
      <c r="T11" s="1"/>
      <c r="U11" s="1"/>
      <c r="V11" s="1"/>
      <c r="W11" s="1"/>
      <c r="X11" s="1"/>
      <c r="Y11" s="1"/>
      <c r="Z11" s="1"/>
      <c r="AA11" s="1"/>
      <c r="AB11" s="1"/>
      <c r="AC11" s="1"/>
      <c r="AD11" s="1"/>
      <c r="AE11" s="1"/>
      <c r="AF11" s="1"/>
      <c r="AG11" s="1"/>
    </row>
    <row r="12" spans="1:33">
      <c r="A12" s="59" t="s">
        <v>13</v>
      </c>
      <c r="B12" s="59">
        <v>544.28918696931964</v>
      </c>
      <c r="C12" s="59">
        <v>548.35839492400748</v>
      </c>
      <c r="D12" s="59">
        <v>540.50434807139743</v>
      </c>
      <c r="E12" s="59">
        <v>518.75033528297615</v>
      </c>
      <c r="F12" s="59">
        <v>511.0768529909555</v>
      </c>
      <c r="G12" s="59">
        <v>507.30136181814419</v>
      </c>
      <c r="H12" s="1"/>
      <c r="I12" s="1"/>
      <c r="J12" s="1"/>
      <c r="K12" s="1"/>
      <c r="L12" s="1"/>
      <c r="M12" s="1"/>
      <c r="N12" s="1"/>
      <c r="O12" s="1"/>
      <c r="P12" s="1"/>
      <c r="Q12" s="1"/>
      <c r="R12" s="1"/>
      <c r="S12" s="1"/>
      <c r="T12" s="1"/>
      <c r="U12" s="1"/>
      <c r="V12" s="1"/>
      <c r="W12" s="1"/>
      <c r="X12" s="1"/>
      <c r="Y12" s="1"/>
      <c r="Z12" s="1"/>
      <c r="AA12" s="1"/>
      <c r="AB12" s="1"/>
      <c r="AC12" s="1"/>
      <c r="AD12" s="1"/>
      <c r="AE12" s="1"/>
      <c r="AF12" s="1"/>
      <c r="AG12" s="1"/>
    </row>
    <row r="13" spans="1:33">
      <c r="A13" s="59" t="s">
        <v>14</v>
      </c>
      <c r="B13" s="59">
        <v>510.79947353216505</v>
      </c>
      <c r="C13" s="59">
        <v>495.53833282458254</v>
      </c>
      <c r="D13" s="59">
        <v>496.78231039753092</v>
      </c>
      <c r="E13" s="59">
        <v>494.98467432063057</v>
      </c>
      <c r="F13" s="59">
        <v>492.92040182386467</v>
      </c>
      <c r="G13" s="59">
        <v>495.40758144403202</v>
      </c>
      <c r="H13" s="1"/>
      <c r="I13" s="1"/>
      <c r="J13" s="1"/>
      <c r="K13" s="1"/>
      <c r="L13" s="1"/>
      <c r="M13" s="1"/>
      <c r="N13" s="1"/>
      <c r="O13" s="1"/>
      <c r="P13" s="1"/>
      <c r="Q13" s="1"/>
      <c r="R13" s="1"/>
      <c r="S13" s="1"/>
      <c r="T13" s="1"/>
      <c r="U13" s="1"/>
      <c r="V13" s="1"/>
      <c r="W13" s="1"/>
      <c r="X13" s="1"/>
      <c r="Y13" s="1"/>
      <c r="Z13" s="1"/>
      <c r="AA13" s="1"/>
      <c r="AB13" s="1"/>
      <c r="AC13" s="1"/>
      <c r="AD13" s="1"/>
      <c r="AE13" s="1"/>
      <c r="AF13" s="1"/>
      <c r="AG13" s="1"/>
    </row>
    <row r="14" spans="1:33">
      <c r="A14" s="59" t="s">
        <v>15</v>
      </c>
      <c r="B14" s="59">
        <v>502.98553214174535</v>
      </c>
      <c r="C14" s="59">
        <v>503.79085848679318</v>
      </c>
      <c r="D14" s="59">
        <v>512.7776425998411</v>
      </c>
      <c r="E14" s="59">
        <v>513.52505581992546</v>
      </c>
      <c r="F14" s="59">
        <v>505.9712824219327</v>
      </c>
      <c r="G14" s="59">
        <v>500.04378016676566</v>
      </c>
      <c r="H14" s="1"/>
      <c r="I14" s="1"/>
      <c r="J14" s="1"/>
      <c r="K14" s="1"/>
      <c r="L14" s="1"/>
      <c r="M14" s="1"/>
      <c r="N14" s="1"/>
      <c r="O14" s="1"/>
      <c r="P14" s="1"/>
      <c r="Q14" s="1"/>
      <c r="R14" s="1"/>
      <c r="S14" s="1"/>
      <c r="T14" s="1"/>
      <c r="U14" s="1"/>
      <c r="V14" s="1"/>
      <c r="W14" s="1"/>
      <c r="X14" s="1"/>
      <c r="Y14" s="1"/>
      <c r="Z14" s="1"/>
      <c r="AA14" s="1"/>
      <c r="AB14" s="1"/>
      <c r="AC14" s="1"/>
      <c r="AD14" s="1"/>
      <c r="AE14" s="1"/>
      <c r="AF14" s="1"/>
      <c r="AG14" s="1"/>
    </row>
    <row r="15" spans="1:33">
      <c r="A15" s="59" t="s">
        <v>16</v>
      </c>
      <c r="B15" s="59">
        <v>444.91186270104447</v>
      </c>
      <c r="C15" s="59">
        <v>459.20198664050758</v>
      </c>
      <c r="D15" s="59">
        <v>466.09637285855024</v>
      </c>
      <c r="E15" s="59">
        <v>452.97342685890976</v>
      </c>
      <c r="F15" s="59">
        <v>453.62985087261978</v>
      </c>
      <c r="G15" s="59">
        <v>451.37034377028198</v>
      </c>
      <c r="H15" s="1"/>
      <c r="I15" s="1"/>
      <c r="J15" s="1"/>
      <c r="K15" s="1"/>
      <c r="L15" s="1"/>
      <c r="M15" s="1"/>
      <c r="N15" s="1"/>
      <c r="O15" s="1"/>
      <c r="P15" s="1"/>
      <c r="Q15" s="1"/>
      <c r="R15" s="1"/>
      <c r="S15" s="1"/>
      <c r="T15" s="1"/>
      <c r="U15" s="1"/>
      <c r="V15" s="1"/>
      <c r="W15" s="1"/>
      <c r="X15" s="1"/>
      <c r="Y15" s="1"/>
      <c r="Z15" s="1"/>
      <c r="AA15" s="1"/>
      <c r="AB15" s="1"/>
      <c r="AC15" s="1"/>
      <c r="AD15" s="1"/>
      <c r="AE15" s="1"/>
      <c r="AF15" s="1"/>
      <c r="AG15" s="1"/>
    </row>
    <row r="16" spans="1:33">
      <c r="A16" s="59" t="s">
        <v>17</v>
      </c>
      <c r="B16" s="59">
        <v>490.0123923840809</v>
      </c>
      <c r="C16" s="59">
        <v>490.93738287695606</v>
      </c>
      <c r="D16" s="59">
        <v>490.17002755257312</v>
      </c>
      <c r="E16" s="59">
        <v>477.04445501549026</v>
      </c>
      <c r="F16" s="59">
        <v>476.83088081470635</v>
      </c>
      <c r="G16" s="59">
        <v>481.082636356244</v>
      </c>
      <c r="H16" s="1"/>
      <c r="I16" s="1"/>
      <c r="J16" s="1"/>
      <c r="K16" s="1"/>
      <c r="L16" s="1"/>
      <c r="M16" s="1"/>
      <c r="N16" s="1"/>
      <c r="O16" s="1"/>
      <c r="P16" s="1"/>
      <c r="Q16" s="1"/>
      <c r="R16" s="1"/>
      <c r="S16" s="1"/>
      <c r="T16" s="1"/>
      <c r="U16" s="1"/>
      <c r="V16" s="1"/>
      <c r="W16" s="1"/>
      <c r="X16" s="1"/>
      <c r="Y16" s="1"/>
      <c r="Z16" s="1"/>
      <c r="AA16" s="1"/>
      <c r="AB16" s="1"/>
      <c r="AC16" s="1"/>
      <c r="AD16" s="1"/>
      <c r="AE16" s="1"/>
      <c r="AF16" s="1"/>
      <c r="AG16" s="1"/>
    </row>
    <row r="17" spans="1:33">
      <c r="A17" s="59" t="s">
        <v>18</v>
      </c>
      <c r="B17" s="59">
        <v>515.10865002475146</v>
      </c>
      <c r="C17" s="59">
        <v>505.54482821560146</v>
      </c>
      <c r="D17" s="59">
        <v>506.66916364738773</v>
      </c>
      <c r="E17" s="59">
        <v>492.79569723949663</v>
      </c>
      <c r="F17" s="59">
        <v>488.03318441486903</v>
      </c>
      <c r="G17" s="59">
        <v>495.18737617387626</v>
      </c>
      <c r="H17" s="1"/>
      <c r="I17" s="1"/>
      <c r="J17" s="1"/>
      <c r="K17" s="1"/>
      <c r="L17" s="1"/>
      <c r="M17" s="1"/>
      <c r="N17" s="1"/>
      <c r="O17" s="1"/>
      <c r="P17" s="1"/>
      <c r="Q17" s="1"/>
      <c r="R17" s="1"/>
      <c r="S17" s="1"/>
      <c r="T17" s="1"/>
      <c r="U17" s="1"/>
      <c r="V17" s="1"/>
      <c r="W17" s="1"/>
      <c r="X17" s="1"/>
      <c r="Y17" s="1"/>
      <c r="Z17" s="1"/>
      <c r="AA17" s="1"/>
      <c r="AB17" s="1"/>
      <c r="AC17" s="1"/>
      <c r="AD17" s="1"/>
      <c r="AE17" s="1"/>
      <c r="AF17" s="1"/>
      <c r="AG17" s="1"/>
    </row>
    <row r="18" spans="1:33">
      <c r="A18" s="59" t="s">
        <v>19</v>
      </c>
      <c r="B18" s="59">
        <v>502.83731927835447</v>
      </c>
      <c r="C18" s="59">
        <v>501.47177088984512</v>
      </c>
      <c r="D18" s="59">
        <v>487.13637524220917</v>
      </c>
      <c r="E18" s="59">
        <v>501.49746019664821</v>
      </c>
      <c r="F18" s="59">
        <v>503.7219973409334</v>
      </c>
      <c r="G18" s="59">
        <v>499.63289403766771</v>
      </c>
      <c r="H18" s="1"/>
      <c r="I18" s="1"/>
      <c r="J18" s="1"/>
      <c r="K18" s="1"/>
      <c r="L18" s="1"/>
      <c r="M18" s="1"/>
      <c r="N18" s="1"/>
      <c r="O18" s="1"/>
      <c r="P18" s="1"/>
      <c r="Q18" s="1"/>
      <c r="R18" s="1"/>
      <c r="S18" s="1"/>
      <c r="T18" s="1"/>
      <c r="U18" s="1"/>
      <c r="V18" s="1"/>
      <c r="W18" s="1"/>
      <c r="X18" s="1"/>
      <c r="Y18" s="1"/>
      <c r="Z18" s="1"/>
      <c r="AA18" s="1"/>
      <c r="AB18" s="1"/>
      <c r="AC18" s="1"/>
      <c r="AD18" s="1"/>
      <c r="AE18" s="1"/>
      <c r="AF18" s="1"/>
      <c r="AG18" s="1"/>
    </row>
    <row r="19" spans="1:33">
      <c r="A19" s="59" t="s">
        <v>20</v>
      </c>
      <c r="B19" s="59">
        <v>448</v>
      </c>
      <c r="C19" s="59">
        <v>441.85872772743772</v>
      </c>
      <c r="D19" s="59">
        <v>446.86376384316031</v>
      </c>
      <c r="E19" s="59">
        <v>466.48143014930378</v>
      </c>
      <c r="F19" s="59">
        <v>469.66945415582262</v>
      </c>
      <c r="G19" s="59">
        <v>463.03454892045522</v>
      </c>
      <c r="H19" s="1"/>
      <c r="I19" s="1"/>
      <c r="J19" s="1"/>
      <c r="K19" s="1"/>
      <c r="L19" s="1"/>
      <c r="M19" s="1"/>
      <c r="N19" s="1"/>
      <c r="O19" s="1"/>
      <c r="P19" s="1"/>
      <c r="Q19" s="1"/>
      <c r="R19" s="1"/>
      <c r="S19" s="1"/>
      <c r="T19" s="1"/>
      <c r="U19" s="1"/>
      <c r="V19" s="1"/>
      <c r="W19" s="1"/>
      <c r="X19" s="1"/>
      <c r="Y19" s="1"/>
      <c r="Z19" s="1"/>
      <c r="AA19" s="1"/>
      <c r="AB19" s="1"/>
      <c r="AC19" s="1"/>
      <c r="AD19" s="1"/>
      <c r="AE19" s="1"/>
      <c r="AF19" s="1"/>
      <c r="AG19" s="1"/>
    </row>
    <row r="20" spans="1:33">
      <c r="A20" s="59" t="s">
        <v>21</v>
      </c>
      <c r="B20" s="59">
        <v>465.66421009310153</v>
      </c>
      <c r="C20" s="59">
        <v>461.68872068980892</v>
      </c>
      <c r="D20" s="59">
        <v>482.90848043052779</v>
      </c>
      <c r="E20" s="59">
        <v>485.32118101256566</v>
      </c>
      <c r="F20" s="59">
        <v>489.72873084182157</v>
      </c>
      <c r="G20" s="59">
        <v>486.58985801290993</v>
      </c>
      <c r="H20" s="1"/>
      <c r="I20" s="1"/>
      <c r="J20" s="1"/>
      <c r="K20" s="1"/>
      <c r="L20" s="1"/>
      <c r="M20" s="1"/>
      <c r="N20" s="1"/>
      <c r="O20" s="1"/>
      <c r="P20" s="1"/>
      <c r="Q20" s="1"/>
      <c r="R20" s="1"/>
      <c r="S20" s="1"/>
      <c r="T20" s="1"/>
      <c r="U20" s="1"/>
      <c r="V20" s="1"/>
      <c r="W20" s="1"/>
      <c r="X20" s="1"/>
      <c r="Y20" s="1"/>
      <c r="Z20" s="1"/>
      <c r="AA20" s="1"/>
      <c r="AB20" s="1"/>
      <c r="AC20" s="1"/>
      <c r="AD20" s="1"/>
      <c r="AE20" s="1"/>
      <c r="AF20" s="1"/>
      <c r="AG20" s="1"/>
    </row>
    <row r="21" spans="1:33">
      <c r="A21" s="59" t="s">
        <v>22</v>
      </c>
      <c r="B21" s="59">
        <v>534.1365015716691</v>
      </c>
      <c r="C21" s="59">
        <v>523.10251495872296</v>
      </c>
      <c r="D21" s="59">
        <v>528.99309300025823</v>
      </c>
      <c r="E21" s="59">
        <v>536.40691823421946</v>
      </c>
      <c r="F21" s="59">
        <v>532.43987220398378</v>
      </c>
      <c r="G21" s="59">
        <v>526.97325049698168</v>
      </c>
      <c r="H21" s="1"/>
      <c r="I21" s="1"/>
      <c r="J21" s="1"/>
      <c r="K21" s="1"/>
      <c r="L21" s="1"/>
      <c r="M21" s="1"/>
      <c r="N21" s="1"/>
      <c r="O21" s="1"/>
      <c r="P21" s="1"/>
      <c r="Q21" s="1"/>
      <c r="R21" s="1"/>
      <c r="S21" s="1"/>
      <c r="T21" s="1"/>
      <c r="U21" s="1"/>
      <c r="V21" s="1"/>
      <c r="W21" s="1"/>
      <c r="X21" s="1"/>
      <c r="Y21" s="1"/>
      <c r="Z21" s="1"/>
      <c r="AA21" s="1"/>
      <c r="AB21" s="1"/>
      <c r="AC21" s="1"/>
      <c r="AD21" s="1"/>
      <c r="AE21" s="1"/>
      <c r="AF21" s="1"/>
      <c r="AG21" s="1"/>
    </row>
    <row r="22" spans="1:33">
      <c r="A22" s="59" t="s">
        <v>23</v>
      </c>
      <c r="B22" s="59">
        <v>542.22736945479028</v>
      </c>
      <c r="C22" s="59">
        <v>547.45847873791706</v>
      </c>
      <c r="D22" s="59">
        <v>546.2285340719842</v>
      </c>
      <c r="E22" s="59">
        <v>553.76665914360933</v>
      </c>
      <c r="F22" s="59">
        <v>524.10621628281251</v>
      </c>
      <c r="G22" s="59">
        <v>525.93300185889268</v>
      </c>
      <c r="H22" s="1"/>
      <c r="I22" s="1"/>
      <c r="J22" s="1"/>
      <c r="K22" s="1"/>
      <c r="L22" s="1"/>
      <c r="M22" s="1"/>
      <c r="N22" s="1"/>
      <c r="O22" s="1"/>
      <c r="P22" s="1"/>
      <c r="Q22" s="1"/>
      <c r="R22" s="1"/>
      <c r="S22" s="1"/>
      <c r="T22" s="1"/>
      <c r="U22" s="1"/>
      <c r="V22" s="1"/>
      <c r="W22" s="1"/>
      <c r="X22" s="1"/>
      <c r="Y22" s="1"/>
      <c r="Z22" s="1"/>
      <c r="AA22" s="1"/>
      <c r="AB22" s="1"/>
      <c r="AC22" s="1"/>
      <c r="AD22" s="1"/>
      <c r="AE22" s="1"/>
      <c r="AF22" s="1"/>
      <c r="AG22" s="1"/>
    </row>
    <row r="23" spans="1:33">
      <c r="A23" s="59" t="s">
        <v>24</v>
      </c>
      <c r="B23" s="59">
        <v>483.37494854382908</v>
      </c>
      <c r="C23" s="59">
        <v>486.16608340191738</v>
      </c>
      <c r="D23" s="59">
        <v>481.9538226208968</v>
      </c>
      <c r="E23" s="59">
        <v>490.57102141135442</v>
      </c>
      <c r="F23" s="59">
        <v>482.30507154661876</v>
      </c>
      <c r="G23" s="59">
        <v>496.12633069612497</v>
      </c>
      <c r="H23" s="1"/>
      <c r="I23" s="1"/>
      <c r="J23" s="1"/>
      <c r="K23" s="1"/>
      <c r="L23" s="1"/>
      <c r="M23" s="1"/>
      <c r="N23" s="1"/>
      <c r="O23" s="1"/>
      <c r="P23" s="1"/>
      <c r="Q23" s="1"/>
      <c r="R23" s="1"/>
      <c r="S23" s="1"/>
      <c r="T23" s="1"/>
      <c r="U23" s="1"/>
      <c r="V23" s="1"/>
      <c r="W23" s="1"/>
      <c r="X23" s="1"/>
      <c r="Y23" s="1"/>
      <c r="Z23" s="1"/>
      <c r="AA23" s="1"/>
      <c r="AB23" s="1"/>
      <c r="AC23" s="1"/>
      <c r="AD23" s="1"/>
      <c r="AE23" s="1"/>
      <c r="AF23" s="1"/>
      <c r="AG23" s="1"/>
    </row>
    <row r="24" spans="1:33">
      <c r="A24" s="59" t="s">
        <v>25</v>
      </c>
      <c r="B24" s="59">
        <v>480</v>
      </c>
      <c r="C24" s="59">
        <v>486.42133472588586</v>
      </c>
      <c r="D24" s="59">
        <v>476.6023030928522</v>
      </c>
      <c r="E24" s="59">
        <v>478.82327743335418</v>
      </c>
      <c r="F24" s="59">
        <v>478.38338173522209</v>
      </c>
      <c r="G24" s="59">
        <v>481.19118829456306</v>
      </c>
      <c r="H24" s="1"/>
      <c r="I24" s="1"/>
      <c r="J24" s="1"/>
      <c r="K24" s="1"/>
      <c r="L24" s="1"/>
      <c r="M24" s="1"/>
      <c r="N24" s="1"/>
      <c r="O24" s="1"/>
      <c r="P24" s="1"/>
      <c r="Q24" s="1"/>
      <c r="R24" s="1"/>
      <c r="S24" s="1"/>
      <c r="T24" s="1"/>
      <c r="U24" s="1"/>
      <c r="V24" s="1"/>
      <c r="W24" s="1"/>
      <c r="X24" s="1"/>
      <c r="Y24" s="1"/>
      <c r="Z24" s="1"/>
      <c r="AA24" s="1"/>
      <c r="AB24" s="1"/>
      <c r="AC24" s="1"/>
      <c r="AD24" s="1"/>
      <c r="AE24" s="1"/>
      <c r="AF24" s="1"/>
      <c r="AG24" s="1"/>
    </row>
    <row r="25" spans="1:33">
      <c r="A25" s="59" t="s">
        <v>26</v>
      </c>
      <c r="B25" s="59">
        <v>493.2085566477059</v>
      </c>
      <c r="C25" s="59">
        <v>490.00184019657291</v>
      </c>
      <c r="D25" s="59">
        <v>489.0672634080924</v>
      </c>
      <c r="E25" s="59">
        <v>489.84509803719658</v>
      </c>
      <c r="F25" s="59">
        <v>485.7706280411266</v>
      </c>
      <c r="G25" s="59">
        <v>483.42148522271901</v>
      </c>
      <c r="H25" s="1"/>
      <c r="I25" s="1"/>
      <c r="J25" s="1"/>
      <c r="K25" s="1"/>
      <c r="L25" s="1"/>
      <c r="M25" s="1"/>
      <c r="N25" s="1"/>
      <c r="O25" s="1"/>
      <c r="P25" s="1"/>
      <c r="Q25" s="1"/>
      <c r="R25" s="1"/>
      <c r="S25" s="1"/>
      <c r="T25" s="1"/>
      <c r="U25" s="1"/>
      <c r="V25" s="1"/>
      <c r="W25" s="1"/>
      <c r="X25" s="1"/>
      <c r="Y25" s="1"/>
      <c r="Z25" s="1"/>
      <c r="AA25" s="1"/>
      <c r="AB25" s="1"/>
      <c r="AC25" s="1"/>
      <c r="AD25" s="1"/>
      <c r="AE25" s="1"/>
      <c r="AF25" s="1"/>
      <c r="AG25" s="1"/>
    </row>
    <row r="26" spans="1:33">
      <c r="A26" s="59" t="s">
        <v>27</v>
      </c>
      <c r="B26" s="59">
        <v>385.2183394712219</v>
      </c>
      <c r="C26" s="59">
        <v>405.65463974687367</v>
      </c>
      <c r="D26" s="59">
        <v>418.50909475913369</v>
      </c>
      <c r="E26" s="59">
        <v>413.28146666769976</v>
      </c>
      <c r="F26" s="59">
        <v>408.02347775190589</v>
      </c>
      <c r="G26" s="59">
        <v>408.80147375476099</v>
      </c>
      <c r="H26" s="1"/>
      <c r="I26" s="1"/>
      <c r="J26" s="1"/>
      <c r="K26" s="1"/>
      <c r="L26" s="1"/>
      <c r="M26" s="1"/>
      <c r="N26" s="1"/>
      <c r="O26" s="1"/>
      <c r="P26" s="1"/>
      <c r="Q26" s="1"/>
      <c r="R26" s="1"/>
      <c r="S26" s="1"/>
      <c r="T26" s="1"/>
      <c r="U26" s="1"/>
      <c r="V26" s="1"/>
      <c r="W26" s="1"/>
      <c r="X26" s="1"/>
      <c r="Y26" s="1"/>
      <c r="Z26" s="1"/>
      <c r="AA26" s="1"/>
      <c r="AB26" s="1"/>
      <c r="AC26" s="1"/>
      <c r="AD26" s="1"/>
      <c r="AE26" s="1"/>
      <c r="AF26" s="1"/>
      <c r="AG26" s="1"/>
    </row>
    <row r="27" spans="1:33">
      <c r="A27" s="59" t="s">
        <v>110</v>
      </c>
      <c r="B27" s="59">
        <v>537.82327599997609</v>
      </c>
      <c r="C27" s="59">
        <v>530.65404621091125</v>
      </c>
      <c r="D27" s="59">
        <v>525.83568838092469</v>
      </c>
      <c r="E27" s="59">
        <v>522.97175819268023</v>
      </c>
      <c r="F27" s="59">
        <v>512.25278988666537</v>
      </c>
      <c r="G27" s="59">
        <v>519.2309826765586</v>
      </c>
      <c r="H27" s="1"/>
      <c r="I27" s="1"/>
      <c r="J27" s="1"/>
      <c r="K27" s="1"/>
      <c r="L27" s="1"/>
      <c r="M27" s="1"/>
      <c r="N27" s="1"/>
      <c r="O27" s="1"/>
      <c r="P27" s="1"/>
      <c r="Q27" s="1"/>
      <c r="R27" s="1"/>
      <c r="S27" s="1"/>
      <c r="T27" s="1"/>
      <c r="U27" s="1"/>
      <c r="V27" s="1"/>
      <c r="W27" s="1"/>
      <c r="X27" s="1"/>
      <c r="Y27" s="1"/>
      <c r="Z27" s="1"/>
      <c r="AA27" s="1"/>
      <c r="AB27" s="1"/>
      <c r="AC27" s="1"/>
      <c r="AD27" s="1"/>
      <c r="AE27" s="1"/>
      <c r="AF27" s="1"/>
      <c r="AG27" s="1"/>
    </row>
    <row r="28" spans="1:33">
      <c r="A28" s="59" t="s">
        <v>29</v>
      </c>
      <c r="B28" s="59">
        <v>523.48658470675264</v>
      </c>
      <c r="C28" s="59">
        <v>521.98884861636202</v>
      </c>
      <c r="D28" s="59">
        <v>519.30087248905147</v>
      </c>
      <c r="E28" s="59">
        <v>499.749902827592</v>
      </c>
      <c r="F28" s="59">
        <v>495.22325646027849</v>
      </c>
      <c r="G28" s="59">
        <v>494.48967597920677</v>
      </c>
      <c r="H28" s="1"/>
      <c r="I28" s="1"/>
      <c r="J28" s="1"/>
      <c r="K28" s="1"/>
      <c r="L28" s="1"/>
      <c r="M28" s="1"/>
      <c r="N28" s="1"/>
      <c r="O28" s="1"/>
      <c r="P28" s="1"/>
      <c r="Q28" s="1"/>
      <c r="R28" s="1"/>
      <c r="S28" s="1"/>
      <c r="T28" s="1"/>
      <c r="U28" s="1"/>
      <c r="V28" s="1"/>
      <c r="W28" s="1"/>
      <c r="X28" s="1"/>
      <c r="Y28" s="1"/>
      <c r="Z28" s="1"/>
      <c r="AA28" s="1"/>
      <c r="AB28" s="1"/>
      <c r="AC28" s="1"/>
      <c r="AD28" s="1"/>
      <c r="AE28" s="1"/>
      <c r="AF28" s="1"/>
      <c r="AG28" s="1"/>
    </row>
    <row r="29" spans="1:33">
      <c r="A29" s="59" t="s">
        <v>30</v>
      </c>
      <c r="B29" s="59">
        <v>495.18539048572552</v>
      </c>
      <c r="C29" s="59">
        <v>489.8463530017255</v>
      </c>
      <c r="D29" s="59">
        <v>497.95569310561461</v>
      </c>
      <c r="E29" s="59">
        <v>489.3730703487596</v>
      </c>
      <c r="F29" s="59">
        <v>501.7298150609314</v>
      </c>
      <c r="G29" s="59">
        <v>500.96378835595345</v>
      </c>
      <c r="H29" s="1"/>
      <c r="I29" s="1"/>
      <c r="J29" s="1"/>
      <c r="K29" s="1"/>
      <c r="L29" s="1"/>
      <c r="M29" s="1"/>
      <c r="N29" s="1"/>
      <c r="O29" s="1"/>
      <c r="P29" s="1"/>
      <c r="Q29" s="1"/>
      <c r="R29" s="1"/>
      <c r="S29" s="1"/>
      <c r="T29" s="1"/>
      <c r="U29" s="1"/>
      <c r="V29" s="1"/>
      <c r="W29" s="1"/>
      <c r="X29" s="1"/>
      <c r="Y29" s="1"/>
      <c r="Z29" s="1"/>
      <c r="AA29" s="1"/>
      <c r="AB29" s="1"/>
      <c r="AC29" s="1"/>
      <c r="AD29" s="1"/>
      <c r="AE29" s="1"/>
      <c r="AF29" s="1"/>
      <c r="AG29" s="1"/>
    </row>
    <row r="30" spans="1:33">
      <c r="A30" s="59" t="s">
        <v>31</v>
      </c>
      <c r="B30" s="59">
        <v>490.2387760816157</v>
      </c>
      <c r="C30" s="59">
        <v>495.4284966175731</v>
      </c>
      <c r="D30" s="59">
        <v>494.80291851711047</v>
      </c>
      <c r="E30" s="59">
        <v>517.50109681795698</v>
      </c>
      <c r="F30" s="59">
        <v>504.46925149000413</v>
      </c>
      <c r="G30" s="59">
        <v>515.64787462969241</v>
      </c>
      <c r="H30" s="1"/>
      <c r="I30" s="1"/>
      <c r="J30" s="1"/>
      <c r="K30" s="1"/>
      <c r="L30" s="1"/>
      <c r="M30" s="1"/>
      <c r="N30" s="1"/>
      <c r="O30" s="1"/>
      <c r="P30" s="1"/>
      <c r="Q30" s="1"/>
      <c r="R30" s="1"/>
      <c r="S30" s="1"/>
      <c r="T30" s="1"/>
      <c r="U30" s="1"/>
      <c r="V30" s="1"/>
      <c r="W30" s="1"/>
      <c r="X30" s="1"/>
      <c r="Y30" s="1"/>
      <c r="Z30" s="1"/>
      <c r="AA30" s="1"/>
      <c r="AB30" s="1"/>
      <c r="AC30" s="1"/>
      <c r="AD30" s="1"/>
      <c r="AE30" s="1"/>
      <c r="AF30" s="1"/>
      <c r="AG30" s="1"/>
    </row>
    <row r="31" spans="1:33">
      <c r="A31" s="59" t="s">
        <v>111</v>
      </c>
      <c r="B31" s="59">
        <v>466.01669470103707</v>
      </c>
      <c r="C31" s="59">
        <v>466.1609856087299</v>
      </c>
      <c r="D31" s="59">
        <v>486.88830609813834</v>
      </c>
      <c r="E31" s="59">
        <v>487.06318134390733</v>
      </c>
      <c r="F31" s="59">
        <v>491.62696777303495</v>
      </c>
      <c r="G31" s="59">
        <v>492.48740611179284</v>
      </c>
      <c r="H31" s="1"/>
      <c r="I31" s="1"/>
      <c r="J31" s="1"/>
      <c r="K31" s="1"/>
      <c r="L31" s="1"/>
      <c r="M31" s="1"/>
      <c r="N31" s="1"/>
      <c r="O31" s="1"/>
      <c r="P31" s="1"/>
      <c r="Q31" s="1"/>
      <c r="R31" s="1"/>
      <c r="S31" s="1"/>
      <c r="T31" s="1"/>
      <c r="U31" s="1"/>
      <c r="V31" s="1"/>
      <c r="W31" s="1"/>
      <c r="X31" s="1"/>
      <c r="Y31" s="1"/>
      <c r="Z31" s="1"/>
      <c r="AA31" s="1"/>
      <c r="AB31" s="1"/>
      <c r="AC31" s="1"/>
      <c r="AD31" s="1"/>
      <c r="AE31" s="1"/>
      <c r="AF31" s="1"/>
      <c r="AG31" s="1"/>
    </row>
    <row r="32" spans="1:33">
      <c r="A32" s="59" t="s">
        <v>33</v>
      </c>
      <c r="B32" s="59">
        <v>498.18345599289864</v>
      </c>
      <c r="C32" s="59">
        <v>492.10623722576003</v>
      </c>
      <c r="D32" s="59">
        <v>496.68342016504579</v>
      </c>
      <c r="E32" s="59">
        <v>481.64474400632844</v>
      </c>
      <c r="F32" s="59">
        <v>475.23010526102775</v>
      </c>
      <c r="G32" s="59">
        <v>486.16485429356203</v>
      </c>
      <c r="H32" s="1"/>
      <c r="I32" s="1"/>
      <c r="J32" s="1"/>
      <c r="K32" s="1"/>
      <c r="L32" s="1"/>
      <c r="M32" s="1"/>
      <c r="N32" s="1"/>
      <c r="O32" s="1"/>
      <c r="P32" s="1"/>
      <c r="Q32" s="1"/>
      <c r="R32" s="1"/>
      <c r="S32" s="1"/>
      <c r="T32" s="1"/>
      <c r="U32" s="1"/>
      <c r="V32" s="1"/>
      <c r="W32" s="1"/>
      <c r="X32" s="1"/>
      <c r="Y32" s="1"/>
      <c r="Z32" s="1"/>
      <c r="AA32" s="1"/>
      <c r="AB32" s="1"/>
      <c r="AC32" s="1"/>
      <c r="AD32" s="1"/>
      <c r="AE32" s="1"/>
      <c r="AF32" s="1"/>
      <c r="AG32" s="1"/>
    </row>
    <row r="33" spans="1:33">
      <c r="A33" s="59" t="s">
        <v>34</v>
      </c>
      <c r="B33" s="59">
        <v>505</v>
      </c>
      <c r="C33" s="59">
        <v>504.45596339085546</v>
      </c>
      <c r="D33" s="59">
        <v>501.47238949235725</v>
      </c>
      <c r="E33" s="59">
        <v>501.12742239095326</v>
      </c>
      <c r="F33" s="59">
        <v>509.91963208616448</v>
      </c>
      <c r="G33" s="59">
        <v>508.89754408489466</v>
      </c>
      <c r="H33" s="1"/>
      <c r="I33" s="1"/>
      <c r="J33" s="1"/>
      <c r="K33" s="1"/>
      <c r="L33" s="1"/>
      <c r="M33" s="1"/>
      <c r="N33" s="1"/>
      <c r="O33" s="1"/>
      <c r="P33" s="1"/>
      <c r="Q33" s="1"/>
      <c r="R33" s="1"/>
      <c r="S33" s="1"/>
      <c r="T33" s="1"/>
      <c r="U33" s="1"/>
      <c r="V33" s="1"/>
      <c r="W33" s="1"/>
      <c r="X33" s="1"/>
      <c r="Y33" s="1"/>
      <c r="Z33" s="1"/>
      <c r="AA33" s="1"/>
      <c r="AB33" s="1"/>
      <c r="AC33" s="1"/>
      <c r="AD33" s="1"/>
      <c r="AE33" s="1"/>
      <c r="AF33" s="1"/>
      <c r="AG33" s="1"/>
    </row>
    <row r="34" spans="1:33">
      <c r="A34" s="59" t="s">
        <v>152</v>
      </c>
      <c r="B34" s="59">
        <v>485.10805641084181</v>
      </c>
      <c r="C34" s="59">
        <v>479.95750697601875</v>
      </c>
      <c r="D34" s="59">
        <v>483.49314032126705</v>
      </c>
      <c r="E34" s="59">
        <v>484.31929780196191</v>
      </c>
      <c r="F34" s="59">
        <v>485.84321725603269</v>
      </c>
      <c r="G34" s="59">
        <v>481.39261267547636</v>
      </c>
      <c r="H34" s="1"/>
      <c r="I34" s="1"/>
      <c r="J34" s="1"/>
      <c r="K34" s="1"/>
      <c r="L34" s="1"/>
      <c r="M34" s="1"/>
      <c r="N34" s="1"/>
      <c r="O34" s="1"/>
      <c r="P34" s="1"/>
      <c r="Q34" s="1"/>
      <c r="R34" s="1"/>
      <c r="S34" s="1"/>
      <c r="T34" s="1"/>
      <c r="U34" s="1"/>
      <c r="V34" s="1"/>
      <c r="W34" s="1"/>
      <c r="X34" s="1"/>
      <c r="Y34" s="1"/>
      <c r="Z34" s="1"/>
      <c r="AA34" s="1"/>
      <c r="AB34" s="1"/>
      <c r="AC34" s="1"/>
      <c r="AD34" s="1"/>
      <c r="AE34" s="1"/>
      <c r="AF34" s="1"/>
      <c r="AG34" s="1"/>
    </row>
    <row r="35" spans="1:33">
      <c r="A35" s="59" t="s">
        <v>36</v>
      </c>
      <c r="B35" s="59">
        <v>509.04644871741652</v>
      </c>
      <c r="C35" s="59">
        <v>502.35639827641648</v>
      </c>
      <c r="D35" s="59">
        <v>494.2381754223893</v>
      </c>
      <c r="E35" s="59">
        <v>478.26063590300987</v>
      </c>
      <c r="F35" s="59">
        <v>493.9181222653001</v>
      </c>
      <c r="G35" s="59">
        <v>502.38770205684824</v>
      </c>
      <c r="H35" s="1"/>
      <c r="I35" s="1"/>
      <c r="J35" s="1"/>
      <c r="K35" s="1"/>
      <c r="L35" s="1"/>
      <c r="M35" s="1"/>
      <c r="N35" s="1"/>
      <c r="O35" s="1"/>
      <c r="P35" s="1"/>
      <c r="Q35" s="1"/>
      <c r="R35" s="1"/>
      <c r="S35" s="1"/>
      <c r="T35" s="1"/>
      <c r="U35" s="1"/>
      <c r="V35" s="1"/>
      <c r="W35" s="1"/>
      <c r="X35" s="1"/>
      <c r="Y35" s="1"/>
      <c r="Z35" s="1"/>
      <c r="AA35" s="1"/>
      <c r="AB35" s="1"/>
      <c r="AC35" s="1"/>
      <c r="AD35" s="1"/>
      <c r="AE35" s="1"/>
      <c r="AF35" s="1"/>
      <c r="AG35" s="1"/>
    </row>
    <row r="36" spans="1:33">
      <c r="A36" s="59" t="s">
        <v>37</v>
      </c>
      <c r="B36" s="59">
        <v>526.55314803987824</v>
      </c>
      <c r="C36" s="59">
        <v>529.65614690363907</v>
      </c>
      <c r="D36" s="59">
        <v>533.96064492051516</v>
      </c>
      <c r="E36" s="59">
        <v>530.93100395040528</v>
      </c>
      <c r="F36" s="59">
        <v>521.25057519160737</v>
      </c>
      <c r="G36" s="59">
        <v>515.3147131261436</v>
      </c>
      <c r="H36" s="1"/>
      <c r="I36" s="1"/>
      <c r="J36" s="1"/>
      <c r="K36" s="1"/>
      <c r="L36" s="1"/>
      <c r="M36" s="1"/>
      <c r="N36" s="1"/>
      <c r="O36" s="1"/>
      <c r="P36" s="1"/>
      <c r="Q36" s="1"/>
      <c r="R36" s="1"/>
      <c r="S36" s="1"/>
      <c r="T36" s="1"/>
      <c r="U36" s="1"/>
      <c r="V36" s="1"/>
      <c r="W36" s="1"/>
      <c r="X36" s="1"/>
      <c r="Y36" s="1"/>
      <c r="Z36" s="1"/>
      <c r="AA36" s="1"/>
      <c r="AB36" s="1"/>
      <c r="AC36" s="1"/>
      <c r="AD36" s="1"/>
      <c r="AE36" s="1"/>
      <c r="AF36" s="1"/>
      <c r="AG36" s="1"/>
    </row>
    <row r="37" spans="1:33">
      <c r="A37" s="59" t="s">
        <v>38</v>
      </c>
      <c r="B37" s="59">
        <v>423.41941000036513</v>
      </c>
      <c r="C37" s="59">
        <v>423.94119002187239</v>
      </c>
      <c r="D37" s="59">
        <v>445.45134024143772</v>
      </c>
      <c r="E37" s="59">
        <v>447.98441497895749</v>
      </c>
      <c r="F37" s="59">
        <v>420.45397968790098</v>
      </c>
      <c r="G37" s="59">
        <v>453.50777794614606</v>
      </c>
      <c r="H37" s="1"/>
      <c r="I37" s="1"/>
      <c r="J37" s="1"/>
      <c r="K37" s="1"/>
      <c r="L37" s="1"/>
      <c r="M37" s="1"/>
      <c r="N37" s="1"/>
      <c r="O37" s="1"/>
      <c r="P37" s="1"/>
      <c r="Q37" s="1"/>
      <c r="R37" s="1"/>
      <c r="S37" s="1"/>
      <c r="T37" s="1"/>
      <c r="U37" s="1"/>
      <c r="V37" s="1"/>
      <c r="W37" s="1"/>
      <c r="X37" s="1"/>
      <c r="Y37" s="1"/>
      <c r="Z37" s="1"/>
      <c r="AA37" s="1"/>
      <c r="AB37" s="1"/>
      <c r="AC37" s="1"/>
      <c r="AD37" s="1"/>
      <c r="AE37" s="1"/>
      <c r="AF37" s="1"/>
      <c r="AG37" s="1"/>
    </row>
    <row r="38" spans="1:33">
      <c r="A38" s="59" t="s">
        <v>39</v>
      </c>
      <c r="B38" s="59">
        <v>495</v>
      </c>
      <c r="C38" s="59">
        <v>495.44415827081542</v>
      </c>
      <c r="D38" s="59">
        <v>492.41407820626182</v>
      </c>
      <c r="E38" s="59">
        <v>493.93423089630409</v>
      </c>
      <c r="F38" s="59">
        <v>492.47853081407061</v>
      </c>
      <c r="G38" s="59">
        <v>501.76989911392042</v>
      </c>
      <c r="H38" s="1"/>
      <c r="I38" s="1"/>
      <c r="J38" s="1"/>
      <c r="K38" s="1"/>
      <c r="L38" s="1"/>
      <c r="M38" s="1"/>
      <c r="N38" s="1"/>
      <c r="O38" s="1"/>
      <c r="P38" s="1"/>
      <c r="Q38" s="1"/>
      <c r="R38" s="1"/>
      <c r="S38" s="1"/>
      <c r="T38" s="1"/>
      <c r="U38" s="1"/>
      <c r="V38" s="1"/>
      <c r="W38" s="1"/>
      <c r="X38" s="1"/>
      <c r="Y38" s="1"/>
      <c r="Z38" s="1"/>
      <c r="AA38" s="1"/>
      <c r="AB38" s="1"/>
      <c r="AC38" s="1"/>
      <c r="AD38" s="1"/>
      <c r="AE38" s="1"/>
      <c r="AF38" s="1"/>
      <c r="AG38" s="1"/>
    </row>
    <row r="39" spans="1:33">
      <c r="A39" s="59" t="s">
        <v>112</v>
      </c>
      <c r="B39" s="59">
        <v>482.88278954435168</v>
      </c>
      <c r="C39" s="59">
        <v>474.35215750015982</v>
      </c>
      <c r="D39" s="59">
        <v>487.39652040654005</v>
      </c>
      <c r="E39" s="59">
        <v>481.36678627921356</v>
      </c>
      <c r="F39" s="59">
        <v>469.628491921766</v>
      </c>
      <c r="G39" s="59">
        <v>478.24471737720535</v>
      </c>
      <c r="H39" s="1"/>
      <c r="I39" s="1"/>
      <c r="J39" s="1"/>
      <c r="K39" s="1"/>
      <c r="L39" s="1"/>
      <c r="M39" s="1"/>
      <c r="N39" s="1"/>
      <c r="O39" s="1"/>
      <c r="P39" s="1"/>
      <c r="Q39" s="1"/>
      <c r="R39" s="1"/>
      <c r="S39" s="1"/>
      <c r="T39" s="1"/>
      <c r="U39" s="1"/>
      <c r="V39" s="1"/>
      <c r="W39" s="1"/>
      <c r="X39" s="1"/>
      <c r="Y39" s="1"/>
      <c r="Z39" s="1"/>
      <c r="AA39" s="1"/>
      <c r="AB39" s="1"/>
      <c r="AC39" s="1"/>
      <c r="AD39" s="1"/>
      <c r="AE39" s="1"/>
      <c r="AF39" s="1"/>
      <c r="AG39" s="1"/>
    </row>
    <row r="40" spans="1:33">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row>
    <row r="41" spans="1:33">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row>
    <row r="42" spans="1:33">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row>
    <row r="43" spans="1:33">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row>
    <row r="44" spans="1:33">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row>
    <row r="45" spans="1:33">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row>
    <row r="46" spans="1:33">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row>
    <row r="47" spans="1:33">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row>
    <row r="48" spans="1:33">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row>
    <row r="49" spans="1:33">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row>
    <row r="50" spans="1:33">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row>
    <row r="51" spans="1:33">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row>
    <row r="52" spans="1:33">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row>
    <row r="53" spans="1:33">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row>
    <row r="54" spans="1:33">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row>
    <row r="55" spans="1:33">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row>
    <row r="56" spans="1:33">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row>
    <row r="57" spans="1:33">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row>
    <row r="58" spans="1:33">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row>
    <row r="59" spans="1:33">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row>
    <row r="60" spans="1:33">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row>
    <row r="61" spans="1:33">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row>
    <row r="62" spans="1:33">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row>
    <row r="63" spans="1:33">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row>
    <row r="64" spans="1:33">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row>
    <row r="65" spans="1:33">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row>
    <row r="66" spans="1:33">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row>
    <row r="67" spans="1:33">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row>
    <row r="68" spans="1:33">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row>
    <row r="69" spans="1:33">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row>
    <row r="70" spans="1:33">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row>
    <row r="71" spans="1:33">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row>
    <row r="72" spans="1:33">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row>
    <row r="73" spans="1:33">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row>
    <row r="74" spans="1:33">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row>
    <row r="75" spans="1:33">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row>
    <row r="76" spans="1:33">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row>
    <row r="77" spans="1:33">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row>
    <row r="78" spans="1:33">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row>
    <row r="79" spans="1:33">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row>
    <row r="80" spans="1:33">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row>
    <row r="81" spans="1:33">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row>
    <row r="82" spans="1:33">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row>
    <row r="83" spans="1:33">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row>
    <row r="84" spans="1:33">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row>
    <row r="85" spans="1:33">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row>
    <row r="86" spans="1:33">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row>
    <row r="87" spans="1:33">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row>
    <row r="88" spans="1:33">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row>
    <row r="89" spans="1:33">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row>
    <row r="90" spans="1:33">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row>
    <row r="91" spans="1:33">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row>
    <row r="92" spans="1:33">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row>
    <row r="93" spans="1:33">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row>
    <row r="94" spans="1:33">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row>
    <row r="95" spans="1:33">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row>
    <row r="96" spans="1:33">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row>
    <row r="97" spans="1:33">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row>
    <row r="98" spans="1:33">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row>
    <row r="99" spans="1:33">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row>
    <row r="100" spans="1:3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row>
    <row r="101" spans="1:3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row>
    <row r="102" spans="1:3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row>
    <row r="103" spans="1:3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row>
    <row r="104" spans="1:3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row>
    <row r="105" spans="1:3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row>
    <row r="106" spans="1:3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row>
    <row r="107" spans="1:3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row>
    <row r="108" spans="1:3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row>
    <row r="109" spans="1:3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row>
    <row r="110" spans="1:3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row>
    <row r="111" spans="1:3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row>
    <row r="112" spans="1:3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row>
    <row r="113" spans="1:3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row>
    <row r="114" spans="1:3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row>
    <row r="115" spans="1:3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row>
    <row r="116" spans="1:3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row>
    <row r="117" spans="1:3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row>
    <row r="118" spans="1:3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row>
    <row r="119" spans="1:3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row>
    <row r="120" spans="1:3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row>
    <row r="121" spans="1:3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row>
    <row r="122" spans="1:3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row>
    <row r="123" spans="1:3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row>
    <row r="124" spans="1:3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row>
    <row r="125" spans="1:3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row>
    <row r="126" spans="1:3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row>
    <row r="127" spans="1:3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row>
    <row r="128" spans="1:3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row>
    <row r="129" spans="1:3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row>
    <row r="130" spans="1:3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row>
    <row r="131" spans="1:3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row>
    <row r="132" spans="1:3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row>
    <row r="133" spans="1:3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row>
    <row r="134" spans="1:3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row>
    <row r="135" spans="1:3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row>
    <row r="136" spans="1:3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row>
    <row r="137" spans="1:3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row>
    <row r="138" spans="1:3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row>
    <row r="139" spans="1:3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row>
    <row r="140" spans="1:3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row>
    <row r="141" spans="1:3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row>
    <row r="142" spans="1:3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row>
    <row r="143" spans="1:3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row>
    <row r="144" spans="1:3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row>
    <row r="145" spans="1:3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row>
    <row r="146" spans="1:3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row>
    <row r="147" spans="1:3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row>
    <row r="148" spans="1:3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row>
    <row r="149" spans="1:3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row>
    <row r="150" spans="1:3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row>
    <row r="151" spans="1:3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row>
    <row r="152" spans="1:3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row>
    <row r="153" spans="1:3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row>
    <row r="154" spans="1:3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row>
    <row r="155" spans="1:3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row>
    <row r="156" spans="1:3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row>
    <row r="157" spans="1:3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row>
    <row r="158" spans="1:3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row>
    <row r="159" spans="1:3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row>
    <row r="160" spans="1:3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row>
    <row r="161" spans="1:3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row>
    <row r="162" spans="1:3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row>
    <row r="163" spans="1:3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row>
    <row r="164" spans="1:3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row>
    <row r="165" spans="1:3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row>
    <row r="166" spans="1:3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row>
    <row r="167" spans="1:3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row>
    <row r="168" spans="1:3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row>
    <row r="169" spans="1:3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row>
    <row r="170" spans="1:3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row>
    <row r="171" spans="1:3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row>
    <row r="172" spans="1:3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row>
    <row r="173" spans="1:3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row>
    <row r="174" spans="1:3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row>
    <row r="175" spans="1:3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row>
    <row r="176" spans="1:3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row>
    <row r="177" spans="1:3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row>
    <row r="178" spans="1:3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row>
    <row r="179" spans="1:3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row>
    <row r="180" spans="1:3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row>
    <row r="181" spans="1:3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row>
    <row r="182" spans="1:3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row>
    <row r="183" spans="1:3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row>
    <row r="184" spans="1:3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row>
    <row r="185" spans="1:3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row>
    <row r="186" spans="1:3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row>
    <row r="187" spans="1:3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row>
    <row r="188" spans="1:3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row>
    <row r="189" spans="1:3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row>
    <row r="190" spans="1:3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row>
    <row r="191" spans="1:3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row>
    <row r="192" spans="1:3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row>
    <row r="193" spans="1:3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row>
    <row r="194" spans="1:3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row>
    <row r="195" spans="1:3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row>
    <row r="196" spans="1:3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row>
    <row r="197" spans="1:3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row>
    <row r="198" spans="1:3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row>
    <row r="199" spans="1:3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row>
    <row r="200" spans="1:3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row>
    <row r="201" spans="1:3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row>
    <row r="202" spans="1:3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row>
    <row r="203" spans="1:3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row>
    <row r="204" spans="1:3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row>
    <row r="205" spans="1:3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row>
    <row r="206" spans="1:3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row>
    <row r="207" spans="1:3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row>
    <row r="208" spans="1:3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row>
    <row r="209" spans="1:3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row>
    <row r="210" spans="1:3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row>
    <row r="211" spans="1:3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row>
    <row r="212" spans="1:3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row>
    <row r="213" spans="1:3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row>
    <row r="214" spans="1:3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row>
    <row r="215" spans="1:3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row>
    <row r="216" spans="1:3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row>
    <row r="217" spans="1:3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row>
    <row r="218" spans="1:3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row>
    <row r="219" spans="1:3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row>
    <row r="220" spans="1:3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row>
    <row r="221" spans="1:3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row>
    <row r="222" spans="1:3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row>
    <row r="223" spans="1:3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row>
    <row r="224" spans="1:3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row>
    <row r="225" spans="1:3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row>
    <row r="226" spans="1:3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row>
    <row r="227" spans="1:3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row>
    <row r="228" spans="1:3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row>
    <row r="229" spans="1:3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row>
    <row r="230" spans="1:3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row>
    <row r="231" spans="1:3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row>
    <row r="232" spans="1:3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row>
    <row r="233" spans="1:3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row>
    <row r="234" spans="1:3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row>
    <row r="235" spans="1:3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row>
    <row r="236" spans="1:3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row>
    <row r="237" spans="1:3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row>
    <row r="238" spans="1:3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row>
    <row r="239" spans="1:3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row>
    <row r="240" spans="1:3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row>
    <row r="241" spans="1:3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row>
    <row r="242" spans="1:3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row>
    <row r="243" spans="1:3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row>
    <row r="244" spans="1:3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row>
    <row r="245" spans="1:3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row>
    <row r="246" spans="1:3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row>
    <row r="247" spans="1:3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row>
    <row r="248" spans="1:3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row>
    <row r="249" spans="1:3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row>
    <row r="250" spans="1:3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row>
    <row r="251" spans="1:3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row>
    <row r="252" spans="1:3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row>
    <row r="253" spans="1:3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row>
    <row r="254" spans="1:3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row>
    <row r="255" spans="1:3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row>
    <row r="256" spans="1:3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row>
    <row r="257" spans="1:3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row>
    <row r="258" spans="1:3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row>
    <row r="259" spans="1:3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row>
    <row r="260" spans="1:3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row>
    <row r="261" spans="1:3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row>
    <row r="262" spans="1:3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row>
    <row r="263" spans="1:3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row>
    <row r="264" spans="1:3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row>
    <row r="265" spans="1:3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row>
    <row r="266" spans="1:3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row>
    <row r="267" spans="1:3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row>
    <row r="268" spans="1:3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row>
    <row r="269" spans="1:3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row>
    <row r="270" spans="1:3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row>
    <row r="271" spans="1:3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row>
    <row r="272" spans="1:3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row>
    <row r="273" spans="1:3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row>
    <row r="274" spans="1:3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row>
    <row r="275" spans="1:3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row>
    <row r="276" spans="1:3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row>
    <row r="277" spans="1:3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row>
    <row r="278" spans="1:3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row>
    <row r="279" spans="1:3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row>
    <row r="280" spans="1:3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row>
    <row r="281" spans="1:3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row>
    <row r="282" spans="1:3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row>
    <row r="283" spans="1:3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row>
    <row r="284" spans="1:3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row>
    <row r="285" spans="1:3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row>
    <row r="286" spans="1:3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row>
    <row r="287" spans="1:3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row>
    <row r="288" spans="1:3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row>
    <row r="289" spans="1:3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row>
    <row r="290" spans="1:3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row>
    <row r="291" spans="1:3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row>
    <row r="292" spans="1:3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row>
    <row r="293" spans="1:3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row>
    <row r="294" spans="1:3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row>
    <row r="295" spans="1:3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row>
    <row r="296" spans="1:3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row>
    <row r="297" spans="1:3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row>
    <row r="298" spans="1:3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row>
    <row r="299" spans="1:3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row>
    <row r="300" spans="1:3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row>
    <row r="301" spans="1:3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row>
    <row r="302" spans="1:3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row>
    <row r="303" spans="1:3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row>
    <row r="304" spans="1:3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row>
    <row r="305" spans="1:3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row>
    <row r="306" spans="1:3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row>
    <row r="307" spans="1:3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row>
    <row r="308" spans="1:3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row>
    <row r="309" spans="1:3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row>
    <row r="310" spans="1:3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row>
    <row r="311" spans="1:3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row>
    <row r="312" spans="1:3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row>
    <row r="313" spans="1:3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row>
    <row r="314" spans="1:3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row>
    <row r="315" spans="1:3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row>
    <row r="316" spans="1:3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row>
    <row r="317" spans="1:3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row>
    <row r="318" spans="1:3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row>
    <row r="319" spans="1:3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row>
    <row r="320" spans="1:3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row>
    <row r="321" spans="1:3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row>
    <row r="322" spans="1:3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row>
    <row r="323" spans="1:3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row>
    <row r="324" spans="1:3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row>
    <row r="325" spans="1:3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row>
    <row r="326" spans="1:3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row>
    <row r="327" spans="1:3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row>
    <row r="328" spans="1:3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row>
    <row r="329" spans="1:3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row>
    <row r="330" spans="1:3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row>
    <row r="331" spans="1:3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row>
    <row r="332" spans="1:3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row>
    <row r="333" spans="1:3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row>
    <row r="334" spans="1:3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row>
    <row r="335" spans="1:3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row>
    <row r="336" spans="1:3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row>
    <row r="337" spans="1:3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row>
    <row r="338" spans="1:3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row>
    <row r="339" spans="1:3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row>
    <row r="340" spans="1:3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row>
    <row r="341" spans="1:3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row>
    <row r="342" spans="1:3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row>
    <row r="343" spans="1:3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row>
    <row r="344" spans="1:3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row>
    <row r="345" spans="1:3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row>
    <row r="346" spans="1:3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row>
    <row r="347" spans="1:3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row>
    <row r="348" spans="1:3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row>
    <row r="349" spans="1:3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row>
    <row r="350" spans="1:3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row>
    <row r="351" spans="1:3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row>
    <row r="352" spans="1:3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row>
    <row r="353" spans="1:3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row>
    <row r="354" spans="1:3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row>
    <row r="355" spans="1:3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row>
    <row r="356" spans="1:3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row>
    <row r="357" spans="1:3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row>
    <row r="358" spans="1:3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row>
    <row r="359" spans="1:3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row>
    <row r="360" spans="1:3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row>
    <row r="361" spans="1:3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row>
    <row r="362" spans="1:3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row>
    <row r="363" spans="1:3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row>
    <row r="364" spans="1:3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row>
    <row r="365" spans="1:3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row>
    <row r="366" spans="1:3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row>
    <row r="367" spans="1:3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row>
    <row r="368" spans="1:3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row>
    <row r="369" spans="1:3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row>
    <row r="370" spans="1:3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row>
    <row r="371" spans="1:3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row>
    <row r="372" spans="1:3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row>
    <row r="373" spans="1:3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row>
    <row r="374" spans="1:3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row>
    <row r="375" spans="1:3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row>
    <row r="376" spans="1:3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row>
    <row r="377" spans="1:3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row>
    <row r="378" spans="1:3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row>
    <row r="379" spans="1:3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row>
    <row r="380" spans="1:3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row>
    <row r="381" spans="1:3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row>
    <row r="382" spans="1:3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row>
    <row r="383" spans="1:3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row>
    <row r="384" spans="1:3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row>
    <row r="385" spans="1:3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row>
    <row r="386" spans="1:3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row>
    <row r="387" spans="1:3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row>
    <row r="388" spans="1:3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row>
    <row r="389" spans="1:3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row>
    <row r="390" spans="1:3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row>
    <row r="391" spans="1:3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row>
    <row r="392" spans="1:3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row>
    <row r="393" spans="1:3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row>
    <row r="394" spans="1:3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row>
    <row r="395" spans="1:3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row>
    <row r="396" spans="1:3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row>
    <row r="397" spans="1:3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row>
    <row r="398" spans="1:3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row>
    <row r="399" spans="1:3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row>
    <row r="400" spans="1:3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row>
    <row r="401" spans="1:3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row>
    <row r="402" spans="1:3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row>
    <row r="403" spans="1:3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row>
    <row r="404" spans="1:3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row>
    <row r="405" spans="1:3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row>
    <row r="406" spans="1:3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row>
    <row r="407" spans="1:3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row>
    <row r="408" spans="1:3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row>
    <row r="409" spans="1:3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row>
    <row r="410" spans="1:3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row>
    <row r="411" spans="1:3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row>
    <row r="412" spans="1:3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row>
    <row r="413" spans="1:3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row>
    <row r="414" spans="1:3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row>
    <row r="415" spans="1:3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row>
    <row r="416" spans="1:3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row>
    <row r="417" spans="1:3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row>
    <row r="418" spans="1:3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row>
    <row r="419" spans="1:3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row>
    <row r="420" spans="1:3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row>
    <row r="421" spans="1:3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row>
    <row r="422" spans="1:3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row>
    <row r="423" spans="1:3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row>
    <row r="424" spans="1:3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row>
    <row r="425" spans="1:3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row>
    <row r="426" spans="1:3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row>
    <row r="427" spans="1:3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row>
    <row r="428" spans="1:3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row>
    <row r="429" spans="1:3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row>
    <row r="430" spans="1:3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row>
    <row r="431" spans="1:3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row>
    <row r="432" spans="1:3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row>
    <row r="433" spans="1:3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row>
    <row r="434" spans="1:3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row>
    <row r="435" spans="1:3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row>
    <row r="436" spans="1:3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row>
    <row r="437" spans="1:3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row>
    <row r="438" spans="1:3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row>
    <row r="439" spans="1:3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row>
    <row r="440" spans="1:3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row>
    <row r="441" spans="1:3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row>
    <row r="442" spans="1:3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row>
    <row r="443" spans="1:3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row>
    <row r="444" spans="1:3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row>
    <row r="445" spans="1:3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row>
    <row r="446" spans="1:3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row>
    <row r="447" spans="1:3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row>
    <row r="448" spans="1:3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row>
    <row r="449" spans="1:3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row>
    <row r="450" spans="1:3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row>
    <row r="451" spans="1:3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row>
    <row r="452" spans="1:3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row>
    <row r="453" spans="1:3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row>
    <row r="454" spans="1:3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row>
    <row r="455" spans="1:3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row>
    <row r="456" spans="1:3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row>
    <row r="457" spans="1:3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row>
    <row r="458" spans="1:3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row>
    <row r="459" spans="1:3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row>
    <row r="460" spans="1:3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row>
    <row r="461" spans="1:3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row>
    <row r="462" spans="1:3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row>
    <row r="463" spans="1:3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row>
    <row r="464" spans="1:3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row>
    <row r="465" spans="1:3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row>
    <row r="466" spans="1:3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row>
    <row r="467" spans="1:3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row>
    <row r="468" spans="1:3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row>
    <row r="469" spans="1:3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row>
    <row r="470" spans="1:3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row>
    <row r="471" spans="1:3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row>
    <row r="472" spans="1:3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row>
    <row r="473" spans="1:3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row>
    <row r="474" spans="1:3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row>
    <row r="475" spans="1:3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row>
    <row r="476" spans="1:3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row>
    <row r="477" spans="1:3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row>
    <row r="478" spans="1:3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row>
    <row r="479" spans="1:3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row>
    <row r="480" spans="1:3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row>
    <row r="481" spans="1:3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row>
    <row r="482" spans="1:3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row>
    <row r="483" spans="1:3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row>
    <row r="484" spans="1:3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row>
    <row r="485" spans="1:3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row>
    <row r="486" spans="1:3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row>
    <row r="487" spans="1:3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row>
    <row r="488" spans="1:3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row>
    <row r="489" spans="1:3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row>
    <row r="490" spans="1:3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row>
    <row r="491" spans="1:3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row>
    <row r="492" spans="1:3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row>
    <row r="493" spans="1:3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row>
    <row r="494" spans="1:3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row>
    <row r="495" spans="1:3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row>
    <row r="496" spans="1:3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row>
    <row r="497" spans="1:3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row>
    <row r="498" spans="1:3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row>
    <row r="499" spans="1:3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row>
    <row r="500" spans="1:3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row>
    <row r="501" spans="1:3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row>
    <row r="502" spans="1:3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row>
    <row r="503" spans="1:3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row>
    <row r="504" spans="1:3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row>
    <row r="505" spans="1:3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row>
    <row r="506" spans="1:3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row>
    <row r="507" spans="1:3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row>
    <row r="508" spans="1:3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row>
  </sheetData>
  <mergeCells count="1">
    <mergeCell ref="B1:G1"/>
  </mergeCells>
  <pageMargins left="0.7" right="0.7" top="0.75" bottom="0.75" header="0.3" footer="0.3"/>
  <drawing r:id="rId1"/>
  <legacyDrawing r:id="rId2"/>
  <controls>
    <mc:AlternateContent xmlns:mc="http://schemas.openxmlformats.org/markup-compatibility/2006">
      <mc:Choice Requires="x14">
        <control shapeId="14337" r:id="rId3" name="ListBox1">
          <controlPr locked="0" defaultSize="0" autoLine="0" linkedCell="L9" listFillRange="ÜLKELERSONN" r:id="rId4">
            <anchor moveWithCells="1">
              <from>
                <xdr:col>7</xdr:col>
                <xdr:colOff>53340</xdr:colOff>
                <xdr:row>0</xdr:row>
                <xdr:rowOff>38100</xdr:rowOff>
              </from>
              <to>
                <xdr:col>10</xdr:col>
                <xdr:colOff>205740</xdr:colOff>
                <xdr:row>21</xdr:row>
                <xdr:rowOff>106680</xdr:rowOff>
              </to>
            </anchor>
          </controlPr>
        </control>
      </mc:Choice>
      <mc:Fallback>
        <control shapeId="14337" r:id="rId3" name="List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Çalışma Sayfaları</vt:lpstr>
      </vt:variant>
      <vt:variant>
        <vt:i4>12</vt:i4>
      </vt:variant>
      <vt:variant>
        <vt:lpstr>Grafikler</vt:lpstr>
      </vt:variant>
      <vt:variant>
        <vt:i4>1</vt:i4>
      </vt:variant>
      <vt:variant>
        <vt:lpstr>Adlandırılmış Aralıklar</vt:lpstr>
      </vt:variant>
      <vt:variant>
        <vt:i4>6</vt:i4>
      </vt:variant>
    </vt:vector>
  </HeadingPairs>
  <TitlesOfParts>
    <vt:vector size="19" baseType="lpstr">
      <vt:lpstr>PİSA</vt:lpstr>
      <vt:lpstr>KATILIM</vt:lpstr>
      <vt:lpstr>KATILIM2</vt:lpstr>
      <vt:lpstr>LEVELLER</vt:lpstr>
      <vt:lpstr>LEVELLER1</vt:lpstr>
      <vt:lpstr>ORTALAMALAR</vt:lpstr>
      <vt:lpstr>ORTALAMALAR KORELASYON</vt:lpstr>
      <vt:lpstr>ANKET</vt:lpstr>
      <vt:lpstr>ANKET2</vt:lpstr>
      <vt:lpstr>ANKET2 TESTLER(EKSİK_KISIM)</vt:lpstr>
      <vt:lpstr>Sayfa14</vt:lpstr>
      <vt:lpstr>Sayfa16</vt:lpstr>
      <vt:lpstr>Grafik1</vt:lpstr>
      <vt:lpstr>ÜLKELER</vt:lpstr>
      <vt:lpstr>ÜLKELERLVL</vt:lpstr>
      <vt:lpstr>ÜLKELERORT</vt:lpstr>
      <vt:lpstr>ÜLKELERSON</vt:lpstr>
      <vt:lpstr>ÜLKELERSONN</vt:lpstr>
      <vt:lpstr>ÜLKELERWP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Muhammet can</dc:creator>
  <cp:lastModifiedBy>MUHAMMET CAN KAYA</cp:lastModifiedBy>
  <dcterms:created xsi:type="dcterms:W3CDTF">2015-06-05T18:17:20Z</dcterms:created>
  <dcterms:modified xsi:type="dcterms:W3CDTF">2024-05-07T18:06:29Z</dcterms:modified>
</cp:coreProperties>
</file>